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6d81ed321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e250ec238394616"/>
    <x:sheet xmlns:r="http://schemas.openxmlformats.org/officeDocument/2006/relationships" name="Fuentes" sheetId="2" r:id="R5adf65d22cb24605"/>
    <x:sheet xmlns:r="http://schemas.openxmlformats.org/officeDocument/2006/relationships" name="Comparación" sheetId="3" r:id="R047524feb3244f17"/>
    <x:sheet xmlns:r="http://schemas.openxmlformats.org/officeDocument/2006/relationships" name="Interesados" sheetId="4" r:id="R1d6560784d0b4792"/>
    <x:sheet xmlns:r="http://schemas.openxmlformats.org/officeDocument/2006/relationships" name="Actores" sheetId="5" r:id="Rf8fe9c099d104560"/>
    <x:sheet xmlns:r="http://schemas.openxmlformats.org/officeDocument/2006/relationships" name="Procesos" sheetId="6" r:id="Rdaf39293da4546d8"/>
    <x:sheet xmlns:r="http://schemas.openxmlformats.org/officeDocument/2006/relationships" name="Reglas de Negocio" sheetId="7" r:id="R63c36770e9a448d4"/>
    <x:sheet xmlns:r="http://schemas.openxmlformats.org/officeDocument/2006/relationships" name="Matriz Requerimientos" sheetId="8" r:id="Ree8cac4f20014082"/>
    <x:sheet xmlns:r="http://schemas.openxmlformats.org/officeDocument/2006/relationships" name="Casos de Prueba" sheetId="9" r:id="Rbd172143e8d748df"/>
    <x:sheet xmlns:r="http://schemas.openxmlformats.org/officeDocument/2006/relationships" name="Trazabilidad" sheetId="10" r:id="R1462c6f782c344c3"/>
    <x:sheet xmlns:r="http://schemas.openxmlformats.org/officeDocument/2006/relationships" name="Incertidumbres" sheetId="11" r:id="R4ea713cd5a284fae"/>
    <x:sheet xmlns:r="http://schemas.openxmlformats.org/officeDocument/2006/relationships" name="Componentes" sheetId="12" r:id="Rff41590737dd4af5"/>
    <x:sheet xmlns:r="http://schemas.openxmlformats.org/officeDocument/2006/relationships" name="Clean Architecture" sheetId="13" r:id="Rfe2f223053ef4882"/>
    <x:sheet xmlns:r="http://schemas.openxmlformats.org/officeDocument/2006/relationships" name="Configuración" sheetId="14" r:id="R0afcfa8e27424e15"/>
    <x:sheet xmlns:r="http://schemas.openxmlformats.org/officeDocument/2006/relationships" name="Checklist" sheetId="15" r:id="Re8b8c3d2cf95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32A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9"/>
      <x:color rgb="FF17332A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1"/>
      <x:color rgb="FF17332A"/>
      <x:name val="Aptos"/>
    </x:font>
    <x:font>
      <x:b/>
      <x:sz val="11"/>
      <x:color rgb="FFFFFFFF"/>
      <x:name val="Aptos"/>
    </x:font>
    <x:font>
      <x:b/>
      <x:sz val="12"/>
      <x:color rgb="FFFFFFFF"/>
      <x:name val="Aptos"/>
    </x:font>
    <x:font>
      <x:sz val="9"/>
      <x:color rgb="FF17332A"/>
      <x:name val="Aptos"/>
    </x:font>
    <x:font>
      <x:sz val="11"/>
      <x:color rgb="FF17332A"/>
      <x:name val="Aptos"/>
    </x:font>
    <x:font>
      <x:b/>
      <x:sz val="18"/>
      <x:color rgb="FFFFFFFF"/>
      <x:name val="Carlito"/>
    </x:font>
    <x:font>
      <x:i/>
      <x:sz val="10"/>
      <x:color rgb="FF17332A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4C3A"/>
      </x:patternFill>
    </x:fill>
    <x:fill>
      <x:patternFill patternType="solid">
        <x:fgColor rgb="FFEAF4EF"/>
      </x:patternFill>
    </x:fill>
    <x:fill>
      <x:patternFill patternType="solid">
        <x:fgColor rgb="FF2A7F62"/>
      </x:patternFill>
    </x:fill>
    <x:fill>
      <x:patternFill patternType="solid">
        <x:fgColor rgb="FFEEF6F2"/>
      </x:patternFill>
    </x:fill>
  </x:fills>
  <x:borders count="4">
    <x:border/>
    <x:border>
      <x:left style="thin">
        <x:color rgb="FFC9D8D1"/>
      </x:left>
      <x:right style="thin">
        <x:color rgb="FFC9D8D1"/>
      </x:right>
      <x:top style="thin">
        <x:color rgb="FFC9D8D1"/>
      </x:top>
      <x:bottom style="thin">
        <x:color rgb="FFC9D8D1"/>
      </x:bottom>
    </x:border>
    <x:border>
      <x:bottom style="thin">
        <x:color rgb="FFC9D8D1"/>
      </x:bottom>
    </x:border>
    <x:border>
      <x:top style="thin">
        <x:color rgb="FFC9D8D1"/>
      </x:top>
      <x:bottom style="thin">
        <x:color rgb="FFC9D8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1" fillId="0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left" wrapText="1"/>
    </x:xf>
    <x:xf numFmtId="0" fontId="12" fillId="5" borderId="1" xfId="0" applyNumberFormat="1" applyFont="1" applyFill="1" applyBorder="1" applyAlignment="1">
      <x:alignment horizontal="left" vertical="center" wrapText="1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left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b/>
        <x:color rgb="FF8A1C13"/>
      </x:font>
      <x:fill>
        <x:patternFill patternType="solid">
          <x:bgColor rgb="FFFCE8E6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1A4D8F"/>
      </x:font>
      <x:fill>
        <x:patternFill patternType="solid">
          <x:bgColor rgb="FFE8F0FE"/>
        </x:patternFill>
      </x:fill>
    </x:dxf>
    <x:dxf>
      <x:font>
        <x:b/>
        <x:color rgb="FF555555"/>
      </x:font>
      <x:fill>
        <x:patternFill patternType="solid">
          <x:bgColor rgb="FFEDEDED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b/>
        <x:color rgb="FF8A1C13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b/>
        <x:color rgb="FF8A1C13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1b0b6f7694eb2" /><Relationship Type="http://schemas.openxmlformats.org/officeDocument/2006/relationships/theme" Target="/xl/theme/theme1.xml" Id="R89460da02bc44975" /><Relationship Type="http://schemas.openxmlformats.org/officeDocument/2006/relationships/sharedStrings" Target="/xl/sharedStrings.xml" Id="Rc0773020c61148dc" /><Relationship Type="http://schemas.openxmlformats.org/officeDocument/2006/relationships/worksheet" Target="/xl/worksheets/sheet1.xml" Id="R0e250ec238394616" /><Relationship Type="http://schemas.openxmlformats.org/officeDocument/2006/relationships/worksheet" Target="/xl/worksheets/sheet2.xml" Id="R5adf65d22cb24605" /><Relationship Type="http://schemas.openxmlformats.org/officeDocument/2006/relationships/worksheet" Target="/xl/worksheets/sheet3.xml" Id="R047524feb3244f17" /><Relationship Type="http://schemas.openxmlformats.org/officeDocument/2006/relationships/worksheet" Target="/xl/worksheets/sheet4.xml" Id="R1d6560784d0b4792" /><Relationship Type="http://schemas.openxmlformats.org/officeDocument/2006/relationships/worksheet" Target="/xl/worksheets/sheet5.xml" Id="Rf8fe9c099d104560" /><Relationship Type="http://schemas.openxmlformats.org/officeDocument/2006/relationships/worksheet" Target="/xl/worksheets/sheet6.xml" Id="Rdaf39293da4546d8" /><Relationship Type="http://schemas.openxmlformats.org/officeDocument/2006/relationships/worksheet" Target="/xl/worksheets/sheet7.xml" Id="R63c36770e9a448d4" /><Relationship Type="http://schemas.openxmlformats.org/officeDocument/2006/relationships/worksheet" Target="/xl/worksheets/sheet8.xml" Id="Ree8cac4f20014082" /><Relationship Type="http://schemas.openxmlformats.org/officeDocument/2006/relationships/worksheet" Target="/xl/worksheets/sheet9.xml" Id="Rbd172143e8d748df" /><Relationship Type="http://schemas.openxmlformats.org/officeDocument/2006/relationships/worksheet" Target="/xl/worksheets/sheet10.xml" Id="R1462c6f782c344c3" /><Relationship Type="http://schemas.openxmlformats.org/officeDocument/2006/relationships/worksheet" Target="/xl/worksheets/sheet11.xml" Id="R4ea713cd5a284fae" /><Relationship Type="http://schemas.openxmlformats.org/officeDocument/2006/relationships/worksheet" Target="/xl/worksheets/sheet12.xml" Id="Rff41590737dd4af5" /><Relationship Type="http://schemas.openxmlformats.org/officeDocument/2006/relationships/worksheet" Target="/xl/worksheets/sheet13.xml" Id="Rfe2f223053ef4882" /><Relationship Type="http://schemas.openxmlformats.org/officeDocument/2006/relationships/worksheet" Target="/xl/worksheets/sheet14.xml" Id="R0afcfa8e27424e15" /><Relationship Type="http://schemas.openxmlformats.org/officeDocument/2006/relationships/worksheet" Target="/xl/worksheets/sheet15.xml" Id="Re8b8c3d2cf9544be" /></Relationships>
</file>

<file path=xl/tables/table1.xml><?xml version="1.0" encoding="utf-8"?>
<x:table xmlns:x="http://schemas.openxmlformats.org/spreadsheetml/2006/main" id="1" name="FuentesTable" displayName="FuentesTable" ref="A4:E10" headerRowCount="1" totalsRowCount="0" totalsRowShown="0">
  <x:autoFilter ref="A4:E10"/>
  <x:tableColumns count="5">
    <x:tableColumn id="1" name="ID"/>
    <x:tableColumn id="2" name="Archivo"/>
    <x:tableColumn id="3" name="Rol"/>
    <x:tableColumn id="4" name="Confiabilidad"/>
    <x:tableColumn id="5" name="Us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mparacionTable" displayName="ComparacionTable" ref="A4:D14" headerRowCount="1" totalsRowCount="0" totalsRowShown="0">
  <x:autoFilter ref="A4:D14"/>
  <x:tableColumns count="4">
    <x:tableColumn id="1" name="Tema"/>
    <x:tableColumn id="2" name="Transcripción Willian"/>
    <x:tableColumn id="3" name="Transcripción Ali"/>
    <x:tableColumn id="4" name="Decisión de análisi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InteresadosTable" displayName="InteresadosTable" ref="A4:F16" headerRowCount="1" totalsRowCount="0" totalsRowShown="0">
  <x:autoFilter ref="A4:F16"/>
  <x:tableColumns count="6">
    <x:tableColumn id="1" name="ID"/>
    <x:tableColumn id="2" name="Interesado / rol"/>
    <x:tableColumn id="3" name="Necesidad principal"/>
    <x:tableColumn id="4" name="Relación con el sistema"/>
    <x:tableColumn id="5" name="Fuente"/>
    <x:tableColumn id="6" name="Estad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ActoresTable" displayName="ActoresTable" ref="A4:D13" headerRowCount="1" totalsRowCount="0" totalsRowShown="0">
  <x:autoFilter ref="A4:D13"/>
  <x:tableColumns count="4">
    <x:tableColumn id="1" name="ID"/>
    <x:tableColumn id="2" name="Actor"/>
    <x:tableColumn id="3" name="Interacciones principales"/>
    <x:tableColumn id="4" name="Confirmación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ProcesosTable" displayName="ProcesosTable" ref="A4:D16" headerRowCount="1" totalsRowCount="0" totalsRowShown="0">
  <x:autoFilter ref="A4:D16"/>
  <x:tableColumns count="4">
    <x:tableColumn id="1" name="ID"/>
    <x:tableColumn id="2" name="Proceso"/>
    <x:tableColumn id="3" name="Flujo resumido"/>
    <x:tableColumn id="4" name="Estado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glas_de_NegocioTable" displayName="Reglas_de_NegocioTable" ref="A4:E30" headerRowCount="1" totalsRowCount="0" totalsRowShown="0">
  <x:autoFilter ref="A4:E30"/>
  <x:tableColumns count="5">
    <x:tableColumn id="1" name="ID"/>
    <x:tableColumn id="2" name="Regla de negocio"/>
    <x:tableColumn id="3" name="Fuente"/>
    <x:tableColumn id="4" name="Estado"/>
    <x:tableColumn id="5" name="Observ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Matriz_RequerimientosTable" displayName="Matriz_RequerimientosTable" ref="A4:M52" headerRowCount="1" totalsRowCount="0" totalsRowShown="0">
  <x:autoFilter ref="A4:M52"/>
  <x:tableColumns count="13">
    <x:tableColumn id="1" name="ID"/>
    <x:tableColumn id="2" name="Nombre"/>
    <x:tableColumn id="3" name="Descripción (El sistema deberá…)"/>
    <x:tableColumn id="4" name="Tipo"/>
    <x:tableColumn id="5" name="Categoría RNF"/>
    <x:tableColumn id="6" name="Actor / interesado"/>
    <x:tableColumn id="7" name="Origen"/>
    <x:tableColumn id="8" name="Estado evidencia"/>
    <x:tableColumn id="9" name="Prioridad"/>
    <x:tableColumn id="10" name="Criterio de aceptación"/>
    <x:tableColumn id="11" name="Componente"/>
    <x:tableColumn id="12" name="Dependencias"/>
    <x:tableColumn id="13" name="Estado implementación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Casos_de_PruebaTable" displayName="Casos_de_PruebaTable" ref="A4:L38" headerRowCount="1" totalsRowCount="0" totalsRowShown="0">
  <x:autoFilter ref="A4:L38"/>
  <x:tableColumns count="12">
    <x:tableColumn id="1" name="ID"/>
    <x:tableColumn id="2" name="Requisito/regla"/>
    <x:tableColumn id="3" name="Objetivo"/>
    <x:tableColumn id="4" name="Precondiciones"/>
    <x:tableColumn id="5" name="Técnica"/>
    <x:tableColumn id="6" name="Partición / valores límite"/>
    <x:tableColumn id="7" name="Datos de entrada"/>
    <x:tableColumn id="8" name="Procedimiento"/>
    <x:tableColumn id="9" name="Resultado esperado"/>
    <x:tableColumn id="10" name="Prioridad"/>
    <x:tableColumn id="11" name="Estado"/>
    <x:tableColumn id="12" name="Observaciones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TrazabilidadTable" displayName="TrazabilidadTable" ref="A4:I52" headerRowCount="1" totalsRowCount="0" totalsRowShown="0">
  <x:autoFilter ref="A4:I52"/>
  <x:tableColumns count="9">
    <x:tableColumn id="1" name="ID requisito"/>
    <x:tableColumn id="2" name="Nombre"/>
    <x:tableColumn id="3" name="Origen / regla"/>
    <x:tableColumn id="4" name="Prioridad"/>
    <x:tableColumn id="5" name="Componente"/>
    <x:tableColumn id="6" name="Casos de prueba"/>
    <x:tableColumn id="7" name="Módulo / código"/>
    <x:tableColumn id="8" name="Documento"/>
    <x:tableColumn id="9" name="Estado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IncertidumbresTable" displayName="IncertidumbresTable" ref="A4:F25" headerRowCount="1" totalsRowCount="0" totalsRowShown="0">
  <x:autoFilter ref="A4:F25"/>
  <x:tableColumns count="6">
    <x:tableColumn id="1" name="ID"/>
    <x:tableColumn id="2" name="Tema"/>
    <x:tableColumn id="3" name="Lo que sabemos"/>
    <x:tableColumn id="4" name="Lo que falta conocer"/>
    <x:tableColumn id="5" name="Impacto"/>
    <x:tableColumn id="6" name="Pregunta asociada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ComponentesTable" displayName="ComponentesTable" ref="A4:D16" headerRowCount="1" totalsRowCount="0" totalsRowShown="0">
  <x:autoFilter ref="A4:D16"/>
  <x:tableColumns count="4">
    <x:tableColumn id="1" name="Componente"/>
    <x:tableColumn id="2" name="Responsabilidad"/>
    <x:tableColumn id="3" name="Capa / ubicación"/>
    <x:tableColumn id="4" name="Requisitos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Clean_ArchitectureTable" displayName="Clean_ArchitectureTable" ref="A4:C12" headerRowCount="1" totalsRowCount="0" totalsRowShown="0">
  <x:autoFilter ref="A4:C12"/>
  <x:tableColumns count="3">
    <x:tableColumn id="1" name="Elemento"/>
    <x:tableColumn id="2" name="Responsabilidad / decisión"/>
    <x:tableColumn id="3" name="Estado / regla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ConfiguracionTable" displayName="ConfiguracionTable" ref="A4:E15" headerRowCount="1" totalsRowCount="0" totalsRowShown="0">
  <x:autoFilter ref="A4:E15"/>
  <x:tableColumns count="5">
    <x:tableColumn id="1" name="ID"/>
    <x:tableColumn id="2" name="Elemento de configuración"/>
    <x:tableColumn id="3" name="Versión"/>
    <x:tableColumn id="4" name="Estado"/>
    <x:tableColumn id="5" name="Contenido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ChecklistTable" displayName="ChecklistTable" ref="A4:D24" headerRowCount="1" totalsRowCount="0" totalsRowShown="0">
  <x:autoFilter ref="A4:D24"/>
  <x:tableColumns count="4">
    <x:tableColumn id="1" name="Elemento solicitado"/>
    <x:tableColumn id="2" name="Estado"/>
    <x:tableColumn id="3" name="Evidencia / archivo"/>
    <x:tableColumn id="4" name="Observac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dfc2f15de1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434a6ea60e4e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159d0b48ce40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eefc0f526c45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c3073e3c6041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c656eddb0b4d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e1e47575c84d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7e2a31f36443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18ee74489de47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e3d037ff24549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d4dfb7a736345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ffc35b1aeb247f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01878d03d134a5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092e8bbd67e46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8" hidden="0" customWidth="1"/>
    <x:col min="6" max="6" width="18" hidden="0" customWidth="1"/>
    <x:col min="7" max="7" width="22" hidden="0" customWidth="1"/>
    <x:col min="8" max="8" width="18" hidden="0" customWidth="1"/>
    <x:col min="9" max="9" width="8" hidden="0" customWidth="1"/>
    <x:col min="10" max="10" width="18" hidden="0" customWidth="1"/>
    <x:col min="11" max="11" width="26" hidden="0" customWidth="1"/>
    <x:col min="12" max="12" width="20" hidden="0" customWidth="1"/>
  </x:cols>
  <x:sheetData>
    <x:row r="1" ht="34" customHeight="1">
      <x:c r="A1" s="19" t="str">
        <x:v>ECOLÁCTEA DIGITAL - RECONSTRUCCIÓN INTEGRAL V2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20"/>
    </x:row>
    <x:row r="2" ht="32" customHeight="1">
      <x:c r="A2" s="21" t="str">
        <x:v>Basada desde cero en las dos transcripciones nuevas. Estado: propuesta para revisión; no validada por la planta.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>
      <x:c r="A4" s="22" t="str">
        <x:v>Prioridad</x:v>
      </x:c>
      <x:c r="B4" s="22" t="str">
        <x:v>Cantidad</x:v>
      </x:c>
      <x:c r="C4" s="20"/>
      <x:c r="D4" s="32" t="str">
        <x:v>Criterio de priorización
Must: indispensable para el proceso o la integridad.
Should: importante, pero puede diferirse.
Could: mejora opcional.
Won't: fuera de la línea base v0.1.0.
La proporción Must se controla con la fórmula de la tabla izquierda y debe permanecer en 60 % o menos.</x:v>
      </x:c>
      <x:c r="E4" s="32"/>
      <x:c r="F4" s="32"/>
      <x:c r="G4" s="32"/>
      <x:c r="H4" s="32"/>
      <x:c r="I4" s="32"/>
      <x:c r="J4" s="32"/>
      <x:c r="K4" s="32"/>
      <x:c r="L4" s="20"/>
    </x:row>
    <x:row r="5">
      <x:c r="A5" s="23" t="str">
        <x:v>Must</x:v>
      </x:c>
      <x:c r="B5" s="23" t="n">
        <x:f>COUNTIF('Matriz Requerimientos'!$I$5:$I$52,"Must")</x:f>
        <x:v>26</x:v>
      </x:c>
      <x:c r="C5" s="20"/>
      <x:c r="D5" s="32"/>
      <x:c r="E5" s="32"/>
      <x:c r="F5" s="32"/>
      <x:c r="G5" s="32"/>
      <x:c r="H5" s="32"/>
      <x:c r="I5" s="32"/>
      <x:c r="J5" s="32"/>
      <x:c r="K5" s="32"/>
      <x:c r="L5" s="20"/>
    </x:row>
    <x:row r="6">
      <x:c r="A6" s="23" t="str">
        <x:v>Should</x:v>
      </x:c>
      <x:c r="B6" s="23" t="n">
        <x:f>COUNTIF('Matriz Requerimientos'!$I$5:$I$52,"Should")</x:f>
        <x:v>20</x:v>
      </x:c>
      <x:c r="C6" s="20"/>
      <x:c r="D6" s="32"/>
      <x:c r="E6" s="32"/>
      <x:c r="F6" s="32"/>
      <x:c r="G6" s="32"/>
      <x:c r="H6" s="32"/>
      <x:c r="I6" s="32"/>
      <x:c r="J6" s="32"/>
      <x:c r="K6" s="32"/>
      <x:c r="L6" s="20"/>
    </x:row>
    <x:row r="7">
      <x:c r="A7" s="23" t="str">
        <x:v>Could</x:v>
      </x:c>
      <x:c r="B7" s="23" t="n">
        <x:f>COUNTIF('Matriz Requerimientos'!$I$5:$I$52,"Could")</x:f>
        <x:v>1</x:v>
      </x:c>
      <x:c r="C7" s="20"/>
      <x:c r="D7" s="32"/>
      <x:c r="E7" s="32"/>
      <x:c r="F7" s="32"/>
      <x:c r="G7" s="32"/>
      <x:c r="H7" s="32"/>
      <x:c r="I7" s="32"/>
      <x:c r="J7" s="32"/>
      <x:c r="K7" s="32"/>
      <x:c r="L7" s="20"/>
    </x:row>
    <x:row r="8">
      <x:c r="A8" s="23" t="str">
        <x:v>Won't</x:v>
      </x:c>
      <x:c r="B8" s="23" t="n">
        <x:f>COUNTIF('Matriz Requerimientos'!$I$5:$I$52,"Won't")</x:f>
        <x:v>1</x:v>
      </x:c>
      <x:c r="C8" s="20"/>
      <x:c r="D8" s="32"/>
      <x:c r="E8" s="32"/>
      <x:c r="F8" s="32"/>
      <x:c r="G8" s="32"/>
      <x:c r="H8" s="32"/>
      <x:c r="I8" s="32"/>
      <x:c r="J8" s="32"/>
      <x:c r="K8" s="32"/>
      <x:c r="L8" s="20"/>
    </x:row>
    <x:row r="9">
      <x:c r="A9" s="20"/>
      <x:c r="B9" s="20"/>
      <x:c r="C9" s="20"/>
      <x:c r="D9" s="32"/>
      <x:c r="E9" s="32"/>
      <x:c r="F9" s="32"/>
      <x:c r="G9" s="32"/>
      <x:c r="H9" s="32"/>
      <x:c r="I9" s="32"/>
      <x:c r="J9" s="32"/>
      <x:c r="K9" s="32"/>
      <x:c r="L9" s="20"/>
    </x:row>
    <x:row r="10">
      <x:c r="A10" s="22" t="str">
        <x:v>Indicador</x:v>
      </x:c>
      <x:c r="B10" s="22" t="str">
        <x:v>Valor</x:v>
      </x:c>
      <x:c r="C10" s="22" t="str">
        <x:v>Estado</x:v>
      </x:c>
      <x:c r="D10" s="32"/>
      <x:c r="E10" s="32"/>
      <x:c r="F10" s="32"/>
      <x:c r="G10" s="32"/>
      <x:c r="H10" s="32"/>
      <x:c r="I10" s="32"/>
      <x:c r="J10" s="32"/>
      <x:c r="K10" s="32"/>
      <x:c r="L10" s="20"/>
    </x:row>
    <x:row r="11">
      <x:c r="A11" s="24" t="str">
        <x:v>Requerimientos funcionales</x:v>
      </x:c>
      <x:c r="B11" s="24" t="n">
        <x:f>COUNTIF('Matriz Requerimientos'!$D$5:$D$52,"Funcional")</x:f>
        <x:v>36</x:v>
      </x:c>
      <x:c r="C11" s="24" t="str">
        <x:v>COMPLETO</x:v>
      </x:c>
      <x:c r="D11" s="32"/>
      <x:c r="E11" s="32"/>
      <x:c r="F11" s="32"/>
      <x:c r="G11" s="32"/>
      <x:c r="H11" s="32"/>
      <x:c r="I11" s="32"/>
      <x:c r="J11" s="32"/>
      <x:c r="K11" s="32"/>
      <x:c r="L11" s="20"/>
    </x:row>
    <x:row r="12">
      <x:c r="A12" s="24" t="str">
        <x:v>Requerimientos no funcionales</x:v>
      </x:c>
      <x:c r="B12" s="24" t="n">
        <x:f>COUNTIF('Matriz Requerimientos'!$D$5:$D$52,"No funcional")</x:f>
        <x:v>12</x:v>
      </x:c>
      <x:c r="C12" s="24" t="str">
        <x:v>COMPLETO</x:v>
      </x:c>
      <x:c r="D12" s="32"/>
      <x:c r="E12" s="32"/>
      <x:c r="F12" s="32"/>
      <x:c r="G12" s="32"/>
      <x:c r="H12" s="32"/>
      <x:c r="I12" s="32"/>
      <x:c r="J12" s="32"/>
      <x:c r="K12" s="32"/>
      <x:c r="L12" s="20"/>
    </x:row>
    <x:row r="13">
      <x:c r="A13" s="24" t="str">
        <x:v>Reglas de negocio</x:v>
      </x:c>
      <x:c r="B13" s="24" t="n">
        <x:v>26</x:v>
      </x:c>
      <x:c r="C13" s="24" t="str">
        <x:v>COMPLETO</x:v>
      </x:c>
      <x:c r="D13" s="32"/>
      <x:c r="E13" s="32"/>
      <x:c r="F13" s="32"/>
      <x:c r="G13" s="32"/>
      <x:c r="H13" s="32"/>
      <x:c r="I13" s="32"/>
      <x:c r="J13" s="32"/>
      <x:c r="K13" s="32"/>
      <x:c r="L13" s="20"/>
    </x:row>
    <x:row r="14">
      <x:c r="A14" s="24" t="str">
        <x:v>Casos de prueba</x:v>
      </x:c>
      <x:c r="B14" s="24" t="n">
        <x:v>34</x:v>
      </x:c>
      <x:c r="C14" s="24" t="str">
        <x:v>DISEÑADOS / NO EJECUTADOS</x:v>
      </x:c>
      <x:c r="D14" s="32"/>
      <x:c r="E14" s="32"/>
      <x:c r="F14" s="32"/>
      <x:c r="G14" s="32"/>
      <x:c r="H14" s="32"/>
      <x:c r="I14" s="32"/>
      <x:c r="J14" s="32"/>
      <x:c r="K14" s="32"/>
      <x:c r="L14" s="20"/>
    </x:row>
    <x:row r="15">
      <x:c r="A15" s="24" t="str">
        <x:v>Must sobre total</x:v>
      </x:c>
      <x:c r="B15" s="53" t="n">
        <x:f>B5/SUM(B5:B8)</x:f>
        <x:v>0.5416666666666666</x:v>
      </x:c>
      <x:c r="C15" s="24" t="str">
        <x:v>CUMPLE &lt;= 60 %</x:v>
      </x:c>
      <x:c r="D15" s="32"/>
      <x:c r="E15" s="32"/>
      <x:c r="F15" s="32"/>
      <x:c r="G15" s="32"/>
      <x:c r="H15" s="32"/>
      <x:c r="I15" s="32"/>
      <x:c r="J15" s="32"/>
      <x:c r="K15" s="32"/>
      <x:c r="L15" s="20"/>
    </x:row>
    <x:row r="16">
      <x:c r="A16" s="24" t="str">
        <x:v>Incertidumbres abiertas</x:v>
      </x:c>
      <x:c r="B16" s="24" t="n">
        <x:v>21</x:v>
      </x:c>
      <x:c r="C16" s="24" t="str">
        <x:v>PENDIENTE DE VALIDACIÓN</x:v>
      </x:c>
      <x:c r="D16" s="32"/>
      <x:c r="E16" s="32"/>
      <x:c r="F16" s="32"/>
      <x:c r="G16" s="32"/>
      <x:c r="H16" s="32"/>
      <x:c r="I16" s="32"/>
      <x:c r="J16" s="32"/>
      <x:c r="K16" s="32"/>
      <x:c r="L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</x:row>
    <x:row r="18">
      <x:c r="A18" s="25" t="str">
        <x:v>Hallazgos que bloquean decisiones definitivas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</x:row>
    <x:row r="19" ht="48" customHeight="1">
      <x:c r="A19" s="26" t="str">
        <x:v>1</x:v>
      </x:c>
      <x:c r="B19" s="26" t="str">
        <x:v>Proveedores</x:v>
      </x:c>
      <x:c r="C19" s="26" t="str">
        <x:v>390 vs 500</x:v>
      </x:c>
      <x:c r="D19" s="26" t="str">
        <x:v>No fijar capacidad</x:v>
      </x:c>
      <x:c r="E19" s="26" t="str">
        <x:v>2</x:v>
      </x:c>
      <x:c r="F19" s="26" t="str">
        <x:v>Volumen diario</x:v>
      </x:c>
      <x:c r="G19" s="26" t="str">
        <x:v>11 500 vs 12 500 L</x:v>
      </x:c>
      <x:c r="H19" s="26" t="str">
        <x:v>No fijar carga</x:v>
      </x:c>
      <x:c r="I19" s="26" t="str">
        <x:v>3</x:v>
      </x:c>
      <x:c r="J19" s="26" t="str">
        <x:v>Sanciones</x:v>
      </x:c>
      <x:c r="K19" s="26" t="str">
        <x:v>Umbral/consecuencias exactas pendientes</x:v>
      </x:c>
      <x:c r="L19" s="26" t="str">
        <x:v>No automatizar</x:v>
      </x:c>
    </x:row>
    <x:row r="20" ht="48" customHeight="1">
      <x:c r="A20" s="26" t="str">
        <x:v>4</x:v>
      </x:c>
      <x:c r="B20" s="26" t="str">
        <x:v>Vehículos</x:v>
      </x:c>
      <x:c r="C20" s="26" t="str">
        <x:v>Inventario/capacidad contradictorios</x:v>
      </x:c>
      <x:c r="D20" s="26" t="str">
        <x:v>Validar flota</x:v>
      </x:c>
      <x:c r="E20" s="26" t="str">
        <x:v>5</x:v>
      </x:c>
      <x:c r="F20" s="26" t="str">
        <x:v>Canal digital</x:v>
      </x:c>
      <x:c r="G20" s="26" t="str">
        <x:v>Acceso móvil aprox. 25 %</x:v>
      </x:c>
      <x:c r="H20" s="26" t="str">
        <x:v>Definir alternativa</x:v>
      </x:c>
      <x:c r="I20" s="26" t="str">
        <x:v>6</x:v>
      </x:c>
      <x:c r="J20" s="26" t="str">
        <x:v>Precios</x:v>
      </x:c>
      <x:c r="K20" s="26" t="str">
        <x:v>Cifras incompatibles</x:v>
      </x:c>
      <x:c r="L20" s="26" t="str">
        <x:v>Usar vigencias, no precargar</x:v>
      </x:c>
    </x:row>
    <x:row r="21" ht="48" customHeight="1">
      <x:c r="A21" s="26" t="str">
        <x:v>7</x:v>
      </x:c>
      <x:c r="B21" s="26" t="str">
        <x:v>Calidad</x:v>
      </x:c>
      <x:c r="C21" s="26" t="str">
        <x:v>Unidades/rangos sin tabla</x:v>
      </x:c>
      <x:c r="D21" s="26" t="str">
        <x:v>No automatizar</x:v>
      </x:c>
      <x:c r="E21" s="26" t="str">
        <x:v>8</x:v>
      </x:c>
      <x:c r="F21" s="26" t="str">
        <x:v>Roles</x:v>
      </x:c>
      <x:c r="G21" s="26" t="str">
        <x:v>Permisos no definidos</x:v>
      </x:c>
      <x:c r="H21" s="26" t="str">
        <x:v>Bloquea seguridad</x:v>
      </x:c>
      <x:c r="I21" s="26" t="str">
        <x:v>9</x:v>
      </x:c>
      <x:c r="J21" s="26" t="str">
        <x:v>Offline</x:v>
      </x:c>
      <x:c r="K21" s="26" t="str">
        <x:v>Volumen/tiempo/conflictos</x:v>
      </x:c>
      <x:c r="L21" s="26" t="str">
        <x:v>Bloquea arquitectura fina</x:v>
      </x:c>
    </x:row>
    <x:row r="22" ht="48" customHeight="1">
      <x:c r="A22" s="26" t="str">
        <x:v>10</x:v>
      </x:c>
      <x:c r="B22" s="26" t="str">
        <x:v>Producción</x:v>
      </x:c>
      <x:c r="C22" s="26" t="str">
        <x:v>Unidad y fórmula de rendimiento</x:v>
      </x:c>
      <x:c r="D22" s="26" t="str">
        <x:v>Validar por producto</x:v>
      </x:c>
      <x:c r="E22" s="26" t="str">
        <x:v>11</x:v>
      </x:c>
      <x:c r="F22" s="26" t="str">
        <x:v>Ventas</x:v>
      </x:c>
      <x:c r="G22" s="26" t="str">
        <x:v>Unidad/stock/precio</x:v>
      </x:c>
      <x:c r="H22" s="26" t="str">
        <x:v>Validar formato</x:v>
      </x:c>
      <x:c r="I22" s="26" t="str">
        <x:v>12</x:v>
      </x:c>
      <x:c r="J22" s="26" t="str">
        <x:v>Migración</x:v>
      </x:c>
      <x:c r="K22" s="26" t="str">
        <x:v>Sistema actual desconocido</x:v>
      </x:c>
      <x:c r="L22" s="26" t="str">
        <x:v>Revisar datos existentes</x:v>
      </x:c>
    </x:row>
    <x:row r="23" ht="48" customHeight="1">
      <x:c r="A23" s="26" t="str">
        <x:v>13</x:v>
      </x:c>
      <x:c r="B23" s="26" t="str">
        <x:v>Caudalímetro</x:v>
      </x:c>
      <x:c r="C23" s="26" t="str">
        <x:v>Fase futura</x:v>
      </x:c>
      <x:c r="D23" s="26" t="str">
        <x:v>Won't v0.1.0</x:v>
      </x:c>
      <x:c r="E23" s="26" t="str">
        <x:v>14</x:v>
      </x:c>
      <x:c r="F23" s="26" t="str">
        <x:v>Aguas residuales</x:v>
      </x:c>
      <x:c r="G23" s="26" t="str">
        <x:v>Solo contexto</x:v>
      </x:c>
      <x:c r="H23" s="26" t="str">
        <x:v>Fuera de alcance</x:v>
      </x:c>
      <x:c r="I23" s="26" t="str">
        <x:v>15</x:v>
      </x:c>
      <x:c r="J23" s="26" t="str">
        <x:v>Git</x:v>
      </x:c>
      <x:c r="K23" s="26" t="str">
        <x:v>Sin etiqueta ni PR</x:v>
      </x:c>
      <x:c r="L23" s="26" t="str">
        <x:v>Pendiente del equipo</x:v>
      </x:c>
    </x:row>
  </x:sheetData>
  <x:mergeCells>
    <x:mergeCell ref="A1:K1"/>
    <x:mergeCell ref="A2:K2"/>
    <x:mergeCell ref="A18:L18"/>
    <x:mergeCell ref="D4:K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22" hidden="0" customWidth="1"/>
    <x:col min="4" max="4" width="16" hidden="0" customWidth="1"/>
    <x:col min="5" max="5" width="58" hidden="0" customWidth="1"/>
  </x:cols>
  <x:sheetData>
    <x:row r="1" ht="30" customHeight="1">
      <x:c r="A1" s="35" t="str">
        <x:v>FUENTES Y CRITERIO DE USO</x:v>
      </x:c>
      <x:c r="B1" s="35"/>
      <x:c r="C1" s="35"/>
      <x:c r="D1" s="35"/>
      <x:c r="E1" s="35"/>
    </x:row>
    <x:row r="2" ht="34" customHeight="1">
      <x:c r="A2" s="38" t="str">
        <x:v>F1 y F2 son fuentes del negocio. F3-F6 definen únicamente el formato académico.</x:v>
      </x:c>
      <x:c r="B2" s="38"/>
      <x:c r="C2" s="38"/>
      <x:c r="D2" s="38"/>
      <x:c r="E2" s="38"/>
    </x:row>
    <x:row r="4" ht="34" customHeight="1">
      <x:c r="A4" s="50" t="str">
        <x:v>ID</x:v>
      </x:c>
      <x:c r="B4" s="50" t="str">
        <x:v>Archivo</x:v>
      </x:c>
      <x:c r="C4" s="50" t="str">
        <x:v>Rol</x:v>
      </x:c>
      <x:c r="D4" s="50" t="str">
        <x:v>Confiabilidad</x:v>
      </x:c>
      <x:c r="E4" s="50" t="str">
        <x:v>Uso</x:v>
      </x:c>
    </x:row>
    <x:row r="5" ht="56" customHeight="1">
      <x:c r="A5" s="51" t="str">
        <x:v>F1</x:v>
      </x:c>
      <x:c r="B5" s="51" t="str">
        <x:v>Transcripciones_willian.docx</x:v>
      </x:c>
      <x:c r="C5" s="51" t="str">
        <x:v>Fuente primaria principal</x:v>
      </x:c>
      <x:c r="D5" s="51" t="str">
        <x:v>Alta dentro de las limitaciones del audio</x:v>
      </x:c>
      <x:c r="E5" s="51" t="str">
        <x:v>Transcripción literal revisada de la reunión inicial y fragmentos de la visita; conserva marcas de inaudible.</x:v>
      </x:c>
    </x:row>
    <x:row r="6" ht="56" customHeight="1">
      <x:c r="A6" s="52" t="str">
        <x:v>F2</x:v>
      </x:c>
      <x:c r="B6" s="52" t="str">
        <x:v>transcribir audio a texto_Ali.docx</x:v>
      </x:c>
      <x:c r="C6" s="52" t="str">
        <x:v>Fuente primaria complementaria</x:v>
      </x:c>
      <x:c r="D6" s="52" t="str">
        <x:v>Media-baja</x:v>
      </x:c>
      <x:c r="E6" s="52" t="str">
        <x:v>Transcripción automática con errores evidentes; solo se usa cuando el sentido es claro o está corroborado.</x:v>
      </x:c>
    </x:row>
    <x:row r="7" ht="56" customHeight="1">
      <x:c r="A7" s="52" t="str">
        <x:v>F3</x:v>
      </x:c>
      <x:c r="B7" s="52" t="str">
        <x:v>sesion_02_-_guia_practica_5ced0yxq8r (1)(1).docx</x:v>
      </x:c>
      <x:c r="C7" s="52" t="str">
        <x:v>Fuente académica</x:v>
      </x:c>
      <x:c r="D7" s="52" t="str">
        <x:v>Alta</x:v>
      </x:c>
      <x:c r="E7" s="52" t="str">
        <x:v>Define la matriz, MoSCoW, ADR, calidad y trazabilidad; SIREL se usa solo como ejemplo.</x:v>
      </x:c>
    </x:row>
    <x:row r="8" ht="56" customHeight="1">
      <x:c r="A8" s="52" t="str">
        <x:v>F4</x:v>
      </x:c>
      <x:c r="B8" s="52" t="str">
        <x:v>sesion_03_-_guia_practica (1)_3pevbrhfte(1).docx</x:v>
      </x:c>
      <x:c r="C8" s="52" t="str">
        <x:v>Fuente académica</x:v>
      </x:c>
      <x:c r="D8" s="52" t="str">
        <x:v>Alta</x:v>
      </x:c>
      <x:c r="E8" s="52" t="str">
        <x:v>Define pruebas y gestión de configuración; las solicitudes de SIREL no se trasladan a Ecoláctea.</x:v>
      </x:c>
    </x:row>
    <x:row r="9" ht="56" customHeight="1">
      <x:c r="A9" s="52" t="str">
        <x:v>F5</x:v>
      </x:c>
      <x:c r="B9" s="52" t="str">
        <x:v>sesion_03_-_diapositivas_construccion_pruebas_configuracion_54ie4nhev8 (1)(1).pptx</x:v>
      </x:c>
      <x:c r="C9" s="52" t="str">
        <x:v>Fuente académica</x:v>
      </x:c>
      <x:c r="D9" s="52" t="str">
        <x:v>Alta</x:v>
      </x:c>
      <x:c r="E9" s="52" t="str">
        <x:v>Exige mínimo 10 casos, partición de equivalencia, valores límite, elementos de configuración, línea base v0.1.0 y procedimiento de cambios.</x:v>
      </x:c>
    </x:row>
    <x:row r="10" ht="56" customHeight="1">
      <x:c r="A10" s="52" t="str">
        <x:v>F6</x:v>
      </x:c>
      <x:c r="B10" s="52" t="str">
        <x:v>sesion_02_-_plantilla_matriz_trazabilidad_requerimientos_tvugzwylrb(1).xlsx</x:v>
      </x:c>
      <x:c r="C10" s="52" t="str">
        <x:v>Plantilla académica</x:v>
      </x:c>
      <x:c r="D10" s="52" t="str">
        <x:v>Alta</x:v>
      </x:c>
      <x:c r="E10" s="52" t="str">
        <x:v>Aporta estructura y columnas; no aporta necesidades de Ecoláctea.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2dfc2f15de14e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8" hidden="0" customWidth="1"/>
    <x:col min="4" max="4" width="42" hidden="0" customWidth="1"/>
  </x:cols>
  <x:sheetData>
    <x:row r="1" ht="30" customHeight="1">
      <x:c r="A1" s="35" t="str">
        <x:v>COMPARACIÓN DE LAS DOS TRANSCRIPCIONES</x:v>
      </x:c>
      <x:c r="B1" s="35"/>
      <x:c r="C1" s="35"/>
      <x:c r="D1" s="35"/>
    </x:row>
    <x:row r="2" ht="34" customHeight="1">
      <x:c r="A2" s="38" t="str">
        <x:v>Las diferencias se registran antes de redactar reglas; ninguna cifra contradictoria se cierra por conveniencia.</x:v>
      </x:c>
      <x:c r="B2" s="38"/>
      <x:c r="C2" s="38"/>
      <x:c r="D2" s="38"/>
    </x:row>
    <x:row r="4" ht="34" customHeight="1">
      <x:c r="A4" s="50" t="str">
        <x:v>Tema</x:v>
      </x:c>
      <x:c r="B4" s="50" t="str">
        <x:v>Transcripción Willian</x:v>
      </x:c>
      <x:c r="C4" s="50" t="str">
        <x:v>Transcripción Ali</x:v>
      </x:c>
      <x:c r="D4" s="50" t="str">
        <x:v>Decisión de análisis</x:v>
      </x:c>
    </x:row>
    <x:row r="5" ht="62" customHeight="1">
      <x:c r="A5" s="51" t="str">
        <x:v>Objetivo central</x:v>
      </x:c>
      <x:c r="B5" s="51" t="str">
        <x:v>Controlar acopio, cantidades, calidad, avisos y reportes.</x:v>
      </x:c>
      <x:c r="C5" s="51" t="str">
        <x:v>Control en tiempo real de cantidad y calidad; agrega pagos, producción y ventas.</x:v>
      </x:c>
      <x:c r="D5" s="51" t="str">
        <x:v>Alcance ampliado y confirmado; se separa por módulos.</x:v>
      </x:c>
    </x:row>
    <x:row r="6" ht="62" customHeight="1">
      <x:c r="A6" s="52" t="str">
        <x:v>Cantidad de proveedores</x:v>
      </x:c>
      <x:c r="B6" s="52" t="str">
        <x:v>Aproximadamente 500 en la reunión inicial.</x:v>
      </x:c>
      <x:c r="C6" s="52" t="str">
        <x:v>Se escucha aproximadamente 390.</x:v>
      </x:c>
      <x:c r="D6" s="52" t="str">
        <x:v>Contradicción: no fijar cifra; INC-01.</x:v>
      </x:c>
    </x:row>
    <x:row r="7" ht="62" customHeight="1">
      <x:c r="A7" s="52" t="str">
        <x:v>Leche procesada por día</x:v>
      </x:c>
      <x:c r="B7" s="52" t="str">
        <x:v>Se menciona 11 500 litros en un fragmento.</x:v>
      </x:c>
      <x:c r="C7" s="52" t="str">
        <x:v>Se menciona 12 500 litros por día.</x:v>
      </x:c>
      <x:c r="D7" s="52" t="str">
        <x:v>Contradicción: no usar como límite; INC-02.</x:v>
      </x:c>
    </x:row>
    <x:row r="8" ht="62" customHeight="1">
      <x:c r="A8" s="52" t="str">
        <x:v>Vehículos</x:v>
      </x:c>
      <x:c r="B8" s="52" t="str">
        <x:v>Tres carros y algunas motocargas; otro fragmento menciona capacidades distintas.</x:v>
      </x:c>
      <x:c r="C8" s="52" t="str">
        <x:v>Cuatro unidades: tres vehículos cerrados y una motocarga, con capacidades transcritas de forma dudosa.</x:v>
      </x:c>
      <x:c r="D8" s="52" t="str">
        <x:v>Estructura confirmada; inventario exacto pendiente, INC-03.</x:v>
      </x:c>
    </x:row>
    <x:row r="9" ht="62" customHeight="1">
      <x:c r="A9" s="52" t="str">
        <x:v>Conectividad</x:v>
      </x:c>
      <x:c r="B9" s="52" t="str">
        <x:v>Señal celular inestable y posibilidad de trabajar offline y sincronizar.</x:v>
      </x:c>
      <x:c r="C9" s="52" t="str">
        <x:v>Poca señal en planta; en rutas habría mayor cobertura con un operador.</x:v>
      </x:c>
      <x:c r="D9" s="52" t="str">
        <x:v>Offline-first confirmado como necesidad arquitectónica.</x:v>
      </x:c>
    </x:row>
    <x:row r="10" ht="62" customHeight="1">
      <x:c r="A10" s="52" t="str">
        <x:v>Acceso a celular</x:v>
      </x:c>
      <x:c r="B10" s="52" t="str">
        <x:v>Se solicitan mensajes individuales a proveedores.</x:v>
      </x:c>
      <x:c r="C10" s="52" t="str">
        <x:v>Se estima que cerca del 25 % maneja celular.</x:v>
      </x:c>
      <x:c r="D10" s="52" t="str">
        <x:v>La notificación digital es necesaria, pero cobertura y canal requieren validación, INC-04.</x:v>
      </x:c>
    </x:row>
    <x:row r="11" ht="62" customHeight="1">
      <x:c r="A11" s="52" t="str">
        <x:v>Precios de queso</x:v>
      </x:c>
      <x:c r="B11" s="52" t="str">
        <x:v>Un fragmento menciona un precio mayorista de S/ 20.</x:v>
      </x:c>
      <x:c r="C11" s="52" t="str">
        <x:v>Aparecen S/ 11, S/ 8 y S/ 21 según tipo de cliente.</x:v>
      </x:c>
      <x:c r="D11" s="52" t="str">
        <x:v>Datos incompatibles o con unidades distintas; no fijar precios, INC-11/INC-15.</x:v>
      </x:c>
    </x:row>
    <x:row r="12" ht="62" customHeight="1">
      <x:c r="A12" s="52" t="str">
        <x:v>Rendimiento</x:v>
      </x:c>
      <x:c r="B12" s="52" t="str">
        <x:v>De 100 litros se obtendrían 11 o 12 quesos, de forma ilustrativa.</x:v>
      </x:c>
      <x:c r="C12" s="52" t="str">
        <x:v>De 100 litros se obtendrían aproximadamente 11 unidades.</x:v>
      </x:c>
      <x:c r="D12" s="52" t="str">
        <x:v>Concepto confirmado; valor, peso y producto exacto pendientes, INC-14.</x:v>
      </x:c>
    </x:row>
    <x:row r="13" ht="62" customHeight="1">
      <x:c r="A13" s="52" t="str">
        <x:v>Registro actual</x:v>
      </x:c>
      <x:c r="B13" s="52" t="str">
        <x:v>Planillas/hojas dificultan reportes.</x:v>
      </x:c>
      <x:c r="C13" s="52" t="str">
        <x:v>El litraje estaría sistematizado administrativamente, pero no en tiempo real; el campo sigue con planillas.</x:v>
      </x:c>
      <x:c r="D13" s="52" t="str">
        <x:v>No es contradicción: coexistencia de registro manual en campo y sistema administrativo; migración e integración pendientes.</x:v>
      </x:c>
    </x:row>
    <x:row r="14" ht="62" customHeight="1">
      <x:c r="A14" s="52" t="str">
        <x:v>Caudalímetro</x:v>
      </x:c>
      <x:c r="B14" s="52" t="str">
        <x:v>Se desea contrastar volumen real al llegar a planta.</x:v>
      </x:c>
      <x:c r="C14" s="52" t="str">
        <x:v>Se aclara que el sensor requiere infraestructura e inversión y se dejaría para una fase posterior.</x:v>
      </x:c>
      <x:c r="D14" s="52" t="str">
        <x:v>RF diferido con prioridad Won't en v0.1.0.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5434a6ea60e4e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0" hidden="0" customWidth="1"/>
    <x:col min="4" max="4" width="38" hidden="0" customWidth="1"/>
    <x:col min="5" max="5" width="28" hidden="0" customWidth="1"/>
    <x:col min="6" max="6" width="24" hidden="0" customWidth="1"/>
  </x:cols>
  <x:sheetData>
    <x:row r="1" ht="30" customHeight="1">
      <x:c r="A1" s="35" t="str">
        <x:v>INTERESADOS DEL PROYECTO</x:v>
      </x:c>
      <x:c r="B1" s="35"/>
      <x:c r="C1" s="35"/>
      <x:c r="D1" s="35"/>
      <x:c r="E1" s="35"/>
      <x:c r="F1" s="35"/>
    </x:row>
    <x:row r="2" ht="34" customHeight="1">
      <x:c r="A2" s="38" t="str">
        <x:v>Distingue interesados, actores directos y beneficiarios. Estado y fuente quedan visibles.</x:v>
      </x:c>
      <x:c r="B2" s="38"/>
      <x:c r="C2" s="38"/>
      <x:c r="D2" s="38"/>
      <x:c r="E2" s="38"/>
      <x:c r="F2" s="38"/>
    </x:row>
    <x:row r="4" ht="34" customHeight="1">
      <x:c r="A4" s="50" t="str">
        <x:v>ID</x:v>
      </x:c>
      <x:c r="B4" s="50" t="str">
        <x:v>Interesado / rol</x:v>
      </x:c>
      <x:c r="C4" s="50" t="str">
        <x:v>Necesidad principal</x:v>
      </x:c>
      <x:c r="D4" s="50" t="str">
        <x:v>Relación con el sistema</x:v>
      </x:c>
      <x:c r="E4" s="50" t="str">
        <x:v>Fuente</x:v>
      </x:c>
      <x:c r="F4" s="50" t="str">
        <x:v>Estado</x:v>
      </x:c>
    </x:row>
    <x:row r="5" ht="58" customHeight="1">
      <x:c r="A5" s="51" t="str">
        <x:v>INT-01</x:v>
      </x:c>
      <x:c r="B5" s="51" t="str">
        <x:v>Jefe o responsable de la planta</x:v>
      </x:c>
      <x:c r="C5" s="51" t="str">
        <x:v>Ver en tiempo real cantidad, calidad, recepción, pagos, producción y ventas; detectar diferencias e incidencias.</x:v>
      </x:c>
      <x:c r="D5" s="51" t="str">
        <x:v>Interesado de alta influencia y usuario de consulta/aprobación.</x:v>
      </x:c>
      <x:c r="E5" s="51" t="str">
        <x:v>F1 TW-F; F2 explicación del proceso</x:v>
      </x:c>
      <x:c r="F5" s="51" t="str">
        <x:v>Confirmado</x:v>
      </x:c>
    </x:row>
    <x:row r="6" ht="58" customHeight="1">
      <x:c r="A6" s="52" t="str">
        <x:v>INT-02</x:v>
      </x:c>
      <x:c r="B6" s="52" t="str">
        <x:v>Proveedor/productor de leche</x:v>
      </x:c>
      <x:c r="C6" s="52" t="str">
        <x:v>Conocer litros, resultados de calidad, liquidación, pagos y comunicados; reclamar diferencias oportunamente.</x:v>
      </x:c>
      <x:c r="D6" s="52" t="str">
        <x:v>Beneficiario y posible usuario móvil; no todos tendrían acceso digital.</x:v>
      </x:c>
      <x:c r="E6" s="52" t="str">
        <x:v>F1 30:43-37:22; F2 bloque acceso a celular</x:v>
      </x:c>
      <x:c r="F6" s="52" t="str">
        <x:v>Confirmado</x:v>
      </x:c>
    </x:row>
    <x:row r="7" ht="58" customHeight="1">
      <x:c r="A7" s="52" t="str">
        <x:v>INT-03</x:v>
      </x:c>
      <x:c r="B7" s="52" t="str">
        <x:v>Acopiador/conductor</x:v>
      </x:c>
      <x:c r="C7" s="52" t="str">
        <x:v>Registrar cada recepción en ruta sin perder tiempo, aun sin Internet, y mantener la planilla actualizada.</x:v>
      </x:c>
      <x:c r="D7" s="52" t="str">
        <x:v>Actor directo de la aplicación móvil.</x:v>
      </x:c>
      <x:c r="E7" s="52" t="str">
        <x:v>F1 37:45-39:13; F2 03:04-06:52</x:v>
      </x:c>
      <x:c r="F7" s="52" t="str">
        <x:v>Confirmado</x:v>
      </x:c>
    </x:row>
    <x:row r="8" ht="58" customHeight="1">
      <x:c r="A8" s="52" t="str">
        <x:v>INT-04</x:v>
      </x:c>
      <x:c r="B8" s="52" t="str">
        <x:v>Personal de control de calidad</x:v>
      </x:c>
      <x:c r="C8" s="52" t="str">
        <x:v>Registrar análisis en campo/planta, emitir resultado y hacer seguimiento a incidencias.</x:v>
      </x:c>
      <x:c r="D8" s="52" t="str">
        <x:v>Actor directo.</x:v>
      </x:c>
      <x:c r="E8" s="52" t="str">
        <x:v>F1 TW-F 01:47-03:17; F2 06:57-13:25</x:v>
      </x:c>
      <x:c r="F8" s="52" t="str">
        <x:v>Confirmado</x:v>
      </x:c>
    </x:row>
    <x:row r="9" ht="58" customHeight="1">
      <x:c r="A9" s="52" t="str">
        <x:v>INT-05</x:v>
      </x:c>
      <x:c r="B9" s="52" t="str">
        <x:v>Personal de recepción en planta</x:v>
      </x:c>
      <x:c r="C9" s="52" t="str">
        <x:v>Registrar el volumen recibido por unidad/ruta y contrastarlo con lo declarado en campo.</x:v>
      </x:c>
      <x:c r="D9" s="52" t="str">
        <x:v>Actor directo; denominación exacta del puesto pendiente.</x:v>
      </x:c>
      <x:c r="E9" s="52" t="str">
        <x:v>F1 TW-V2; F2 05:19-06:52</x:v>
      </x:c>
      <x:c r="F9" s="52" t="str">
        <x:v>Confirmado</x:v>
      </x:c>
    </x:row>
    <x:row r="10" ht="58" customHeight="1">
      <x:c r="A10" s="52" t="str">
        <x:v>INT-06</x:v>
      </x:c>
      <x:c r="B10" s="52" t="str">
        <x:v>Administración/tesorería</x:v>
      </x:c>
      <x:c r="C10" s="52" t="str">
        <x:v>Calcular liquidaciones semanales, generar sobres y registrar pagos.</x:v>
      </x:c>
      <x:c r="D10" s="52" t="str">
        <x:v>Actor directo; permisos pendientes.</x:v>
      </x:c>
      <x:c r="E10" s="52" t="str">
        <x:v>F1 TW-F 00:00-01:46; F2 bloque planillas/pagos</x:v>
      </x:c>
      <x:c r="F10" s="52" t="str">
        <x:v>Confirmado</x:v>
      </x:c>
    </x:row>
    <x:row r="11" ht="58" customHeight="1">
      <x:c r="A11" s="52" t="str">
        <x:v>INT-07</x:v>
      </x:c>
      <x:c r="B11" s="52" t="str">
        <x:v>Jefe/personal de producción</x:v>
      </x:c>
      <x:c r="C11" s="52" t="str">
        <x:v>Registrar leche procesada, productos obtenidos y rendimiento.</x:v>
      </x:c>
      <x:c r="D11" s="52" t="str">
        <x:v>Actor directo.</x:v>
      </x:c>
      <x:c r="E11" s="52" t="str">
        <x:v>F1 TW-V2; F2 13:29-14:22</x:v>
      </x:c>
      <x:c r="F11" s="52" t="str">
        <x:v>Confirmado</x:v>
      </x:c>
    </x:row>
    <x:row r="12" ht="58" customHeight="1">
      <x:c r="A12" s="52" t="str">
        <x:v>INT-08</x:v>
      </x:c>
      <x:c r="B12" s="52" t="str">
        <x:v>Personal de despacho/ventas</x:v>
      </x:c>
      <x:c r="C12" s="52" t="str">
        <x:v>Registrar cantidades vendidas, clientes y precios; informar a administración.</x:v>
      </x:c>
      <x:c r="D12" s="52" t="str">
        <x:v>Actor directo.</x:v>
      </x:c>
      <x:c r="E12" s="52" t="str">
        <x:v>F1 TW-F 15:51-17:00; F2 bloque clientes/despacho</x:v>
      </x:c>
      <x:c r="F12" s="52" t="str">
        <x:v>Confirmado</x:v>
      </x:c>
    </x:row>
    <x:row r="13" ht="58" customHeight="1">
      <x:c r="A13" s="52" t="str">
        <x:v>INT-09</x:v>
      </x:c>
      <x:c r="B13" s="52" t="str">
        <x:v>Cliente de queso</x:v>
      </x:c>
      <x:c r="C13" s="52" t="str">
        <x:v>Recibir el producto y precio correspondiente a su tipo de cliente.</x:v>
      </x:c>
      <x:c r="D13" s="52" t="str">
        <x:v>Interesado; no se confirmó que use el sistema.</x:v>
      </x:c>
      <x:c r="E13" s="52" t="str">
        <x:v>F1 TW-V2; F2 bloque tipos de cliente</x:v>
      </x:c>
      <x:c r="F13" s="52" t="str">
        <x:v>Confirmado</x:v>
      </x:c>
    </x:row>
    <x:row r="14" ht="58" customHeight="1">
      <x:c r="A14" s="52" t="str">
        <x:v>INT-10</x:v>
      </x:c>
      <x:c r="B14" s="52" t="str">
        <x:v>Municipalidad de Huata (alcaldía/regiduría/gerencia)</x:v>
      </x:c>
      <x:c r="C14" s="52" t="str">
        <x:v>Que la planta mejore control, transparencia, autosostenibilidad e información para decisiones.</x:v>
      </x:c>
      <x:c r="D14" s="52" t="str">
        <x:v>Patrocinador y beneficiario institucional.</x:v>
      </x:c>
      <x:c r="E14" s="52" t="str">
        <x:v>F1 reunión inicial y visita</x:v>
      </x:c>
      <x:c r="F14" s="52" t="str">
        <x:v>Confirmado</x:v>
      </x:c>
    </x:row>
    <x:row r="15" ht="58" customHeight="1">
      <x:c r="A15" s="52" t="str">
        <x:v>INT-11</x:v>
      </x:c>
      <x:c r="B15" s="52" t="str">
        <x:v>Área de desarrollo económico/veterinarios</x:v>
      </x:c>
      <x:c r="C15" s="52" t="str">
        <x:v>Recibir derivaciones cuando se detecten problemas que requieran atención animal.</x:v>
      </x:c>
      <x:c r="D15" s="52" t="str">
        <x:v>Colaborador externo; acceso directo no confirmado.</x:v>
      </x:c>
      <x:c r="E15" s="52" t="str">
        <x:v>F2 bloque sanidad animal</x:v>
      </x:c>
      <x:c r="F15" s="52" t="str">
        <x:v>Confirmado con alcance pendiente</x:v>
      </x:c>
    </x:row>
    <x:row r="16" ht="58" customHeight="1">
      <x:c r="A16" s="52" t="str">
        <x:v>INT-12</x:v>
      </x:c>
      <x:c r="B16" s="52" t="str">
        <x:v>Equipo académico y docentes</x:v>
      </x:c>
      <x:c r="C16" s="52" t="str">
        <x:v>Cumplir los entregables, Kotlin, Clean Architecture, pruebas, trazabilidad y configuración.</x:v>
      </x:c>
      <x:c r="D16" s="52" t="str">
        <x:v>Interesado académico; no es actor del negocio.</x:v>
      </x:c>
      <x:c r="E16" s="52" t="str">
        <x:v>F3-F5; decisión del equipo</x:v>
      </x:c>
      <x:c r="F16" s="52" t="str">
        <x:v>Confirmado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0159d0b48ce40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6" hidden="0" customWidth="1"/>
    <x:col min="4" max="4" width="38" hidden="0" customWidth="1"/>
  </x:cols>
  <x:sheetData>
    <x:row r="1" ht="30" customHeight="1">
      <x:c r="A1" s="35" t="str">
        <x:v>ACTORES DEL SISTEMA</x:v>
      </x:c>
      <x:c r="B1" s="35"/>
      <x:c r="C1" s="35"/>
      <x:c r="D1" s="35"/>
    </x:row>
    <x:row r="2" ht="34" customHeight="1">
      <x:c r="A2" s="38" t="str">
        <x:v>Solo se considera actor directo cuando existe una interacción identificable; permisos concretos están pendientes.</x:v>
      </x:c>
      <x:c r="B2" s="38"/>
      <x:c r="C2" s="38"/>
      <x:c r="D2" s="38"/>
    </x:row>
    <x:row r="4" ht="34" customHeight="1">
      <x:c r="A4" s="50" t="str">
        <x:v>ID</x:v>
      </x:c>
      <x:c r="B4" s="50" t="str">
        <x:v>Actor</x:v>
      </x:c>
      <x:c r="C4" s="50" t="str">
        <x:v>Interacciones principales</x:v>
      </x:c>
      <x:c r="D4" s="50" t="str">
        <x:v>Confirmación</x:v>
      </x:c>
    </x:row>
    <x:row r="5" ht="55" customHeight="1">
      <x:c r="A5" s="51" t="str">
        <x:v>ACT-01</x:v>
      </x:c>
      <x:c r="B5" s="51" t="str">
        <x:v>Administrador del sistema</x:v>
      </x:c>
      <x:c r="C5" s="51" t="str">
        <x:v>Usuarios, roles, catálogos, parámetros y auditoría.</x:v>
      </x:c>
      <x:c r="D5" s="51" t="str">
        <x:v>Rol técnico propuesto; la persona responsable debe validarse.</x:v>
      </x:c>
    </x:row>
    <x:row r="6" ht="55" customHeight="1">
      <x:c r="A6" s="52" t="str">
        <x:v>ACT-02</x:v>
      </x:c>
      <x:c r="B6" s="52" t="str">
        <x:v>Responsable de planta</x:v>
      </x:c>
      <x:c r="C6" s="52" t="str">
        <x:v>Paneles, conciliaciones, incidencias, reportes y aprobaciones.</x:v>
      </x:c>
      <x:c r="D6" s="52" t="str">
        <x:v>Sí, con permisos exactos pendientes.</x:v>
      </x:c>
    </x:row>
    <x:row r="7" ht="55" customHeight="1">
      <x:c r="A7" s="52" t="str">
        <x:v>ACT-03</x:v>
      </x:c>
      <x:c r="B7" s="52" t="str">
        <x:v>Acopiador</x:v>
      </x:c>
      <x:c r="C7" s="52" t="str">
        <x:v>Ruta, planilla, registro de litros, operación offline y sincronización.</x:v>
      </x:c>
      <x:c r="D7" s="52" t="str">
        <x:v>Sí.</x:v>
      </x:c>
    </x:row>
    <x:row r="8" ht="55" customHeight="1">
      <x:c r="A8" s="52" t="str">
        <x:v>ACT-04</x:v>
      </x:c>
      <x:c r="B8" s="52" t="str">
        <x:v>Control de calidad</x:v>
      </x:c>
      <x:c r="C8" s="52" t="str">
        <x:v>Análisis, resultados, incidencias, capacitaciones y seguimiento.</x:v>
      </x:c>
      <x:c r="D8" s="52" t="str">
        <x:v>Sí.</x:v>
      </x:c>
    </x:row>
    <x:row r="9" ht="55" customHeight="1">
      <x:c r="A9" s="52" t="str">
        <x:v>ACT-05</x:v>
      </x:c>
      <x:c r="B9" s="52" t="str">
        <x:v>Recepción de planta</x:v>
      </x:c>
      <x:c r="C9" s="52" t="str">
        <x:v>Volumen recibido y conciliación contra campo.</x:v>
      </x:c>
      <x:c r="D9" s="52" t="str">
        <x:v>Función confirmada; cargo exacto pendiente.</x:v>
      </x:c>
    </x:row>
    <x:row r="10" ht="55" customHeight="1">
      <x:c r="A10" s="52" t="str">
        <x:v>ACT-06</x:v>
      </x:c>
      <x:c r="B10" s="52" t="str">
        <x:v>Administración/tesorería</x:v>
      </x:c>
      <x:c r="C10" s="52" t="str">
        <x:v>Precios, liquidaciones, sobres y pagos.</x:v>
      </x:c>
      <x:c r="D10" s="52" t="str">
        <x:v>Sí.</x:v>
      </x:c>
    </x:row>
    <x:row r="11" ht="55" customHeight="1">
      <x:c r="A11" s="52" t="str">
        <x:v>ACT-07</x:v>
      </x:c>
      <x:c r="B11" s="52" t="str">
        <x:v>Producción</x:v>
      </x:c>
      <x:c r="C11" s="52" t="str">
        <x:v>Lotes, productos obtenidos y rendimiento.</x:v>
      </x:c>
      <x:c r="D11" s="52" t="str">
        <x:v>Sí.</x:v>
      </x:c>
    </x:row>
    <x:row r="12" ht="55" customHeight="1">
      <x:c r="A12" s="52" t="str">
        <x:v>ACT-08</x:v>
      </x:c>
      <x:c r="B12" s="52" t="str">
        <x:v>Despacho/ventas</x:v>
      </x:c>
      <x:c r="C12" s="52" t="str">
        <x:v>Clientes, precios, ventas y movimientos de producto.</x:v>
      </x:c>
      <x:c r="D12" s="52" t="str">
        <x:v>Sí.</x:v>
      </x:c>
    </x:row>
    <x:row r="13" ht="55" customHeight="1">
      <x:c r="A13" s="52" t="str">
        <x:v>ACT-09</x:v>
      </x:c>
      <x:c r="B13" s="52" t="str">
        <x:v>Proveedor</x:v>
      </x:c>
      <x:c r="C13" s="52" t="str">
        <x:v>Consulta de litros, calidad, liquidación y comunicados; recepción de avisos.</x:v>
      </x:c>
      <x:c r="D13" s="52" t="str">
        <x:v>Sí como beneficiario; adopción digital exacta pendiente.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deefc0f526c45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75" hidden="0" customWidth="1"/>
    <x:col min="4" max="4" width="38" hidden="0" customWidth="1"/>
  </x:cols>
  <x:sheetData>
    <x:row r="1" ht="30" customHeight="1">
      <x:c r="A1" s="35" t="str">
        <x:v>PROCESOS DEL NEGOCIO</x:v>
      </x:c>
      <x:c r="B1" s="35"/>
      <x:c r="C1" s="35"/>
      <x:c r="D1" s="35"/>
    </x:row>
    <x:row r="2" ht="34" customHeight="1">
      <x:c r="A2" s="38" t="str">
        <x:v>Flujos reconstruidos a partir de las reuniones. Los detalles faltantes se enlazan a Incertidumbres.</x:v>
      </x:c>
      <x:c r="B2" s="38"/>
      <x:c r="C2" s="38"/>
      <x:c r="D2" s="38"/>
    </x:row>
    <x:row r="4" ht="34" customHeight="1">
      <x:c r="A4" s="50" t="str">
        <x:v>ID</x:v>
      </x:c>
      <x:c r="B4" s="50" t="str">
        <x:v>Proceso</x:v>
      </x:c>
      <x:c r="C4" s="50" t="str">
        <x:v>Flujo resumido</x:v>
      </x:c>
      <x:c r="D4" s="50" t="str">
        <x:v>Estado</x:v>
      </x:c>
    </x:row>
    <x:row r="5" ht="60" customHeight="1">
      <x:c r="A5" s="51" t="str">
        <x:v>PR-01</x:v>
      </x:c>
      <x:c r="B5" s="51" t="str">
        <x:v>Alta y ubicación del proveedor</x:v>
      </x:c>
      <x:c r="C5" s="51" t="str">
        <x:v>Registrar datos -&gt; asignar zona/ruta -&gt; conservar vigencia e historial.</x:v>
      </x:c>
      <x:c r="D5" s="51" t="str">
        <x:v>Confirmado; campos y responsables pendientes.</x:v>
      </x:c>
    </x:row>
    <x:row r="6" ht="60" customHeight="1">
      <x:c r="A6" s="52" t="str">
        <x:v>PR-02</x:v>
      </x:c>
      <x:c r="B6" s="52" t="str">
        <x:v>Planificación del acopio</x:v>
      </x:c>
      <x:c r="C6" s="52" t="str">
        <x:v>Actualizar planilla -&gt; asignar ruta/unidad/personal -&gt; definir horario de salida.</x:v>
      </x:c>
      <x:c r="D6" s="52" t="str">
        <x:v>Confirmado con detalles operativos pendientes.</x:v>
      </x:c>
    </x:row>
    <x:row r="7" ht="60" customHeight="1">
      <x:c r="A7" s="52" t="str">
        <x:v>PR-03</x:v>
      </x:c>
      <x:c r="B7" s="52" t="str">
        <x:v>Acopio en campo</x:v>
      </x:c>
      <x:c r="C7" s="52" t="str">
        <x:v>Identificar proveedor -&gt; medir litros -&gt; registrar -&gt; conservar localmente -&gt; entregar/mostrar constancia.</x:v>
      </x:c>
      <x:c r="D7" s="52" t="str">
        <x:v>Confirmado.</x:v>
      </x:c>
    </x:row>
    <x:row r="8" ht="60" customHeight="1">
      <x:c r="A8" s="52" t="str">
        <x:v>PR-04</x:v>
      </x:c>
      <x:c r="B8" s="52" t="str">
        <x:v>Entrega directa</x:v>
      </x:c>
      <x:c r="C8" s="52" t="str">
        <x:v>Proveedor llega a planta -&gt; se identifica -&gt; se registra cantidad y modalidad.</x:v>
      </x:c>
      <x:c r="D8" s="52" t="str">
        <x:v>Confirmado.</x:v>
      </x:c>
    </x:row>
    <x:row r="9" ht="60" customHeight="1">
      <x:c r="A9" s="52" t="str">
        <x:v>PR-05</x:v>
      </x:c>
      <x:c r="B9" s="52" t="str">
        <x:v>Recepción y conciliación</x:v>
      </x:c>
      <x:c r="C9" s="52" t="str">
        <x:v>Unidad llega -&gt; descargar/medir -&gt; comparar con suma de campo -&gt; abrir diferencia si no coincide.</x:v>
      </x:c>
      <x:c r="D9" s="52" t="str">
        <x:v>Confirmado; medición y tolerancia pendientes.</x:v>
      </x:c>
    </x:row>
    <x:row r="10" ht="60" customHeight="1">
      <x:c r="A10" s="52" t="str">
        <x:v>PR-06</x:v>
      </x:c>
      <x:c r="B10" s="52" t="str">
        <x:v>Control de calidad</x:v>
      </x:c>
      <x:c r="C10" s="52" t="str">
        <x:v>Tomar muestra -&gt; analizar parámetros -&gt; emitir resultado -&gt; registrar incidencia -&gt; informar/seguir.</x:v>
      </x:c>
      <x:c r="D10" s="52" t="str">
        <x:v>Confirmado; rangos y unidades pendientes.</x:v>
      </x:c>
    </x:row>
    <x:row r="11" ht="60" customHeight="1">
      <x:c r="A11" s="52" t="str">
        <x:v>PR-07</x:v>
      </x:c>
      <x:c r="B11" s="52" t="str">
        <x:v>Liquidación y pago semanal</x:v>
      </x:c>
      <x:c r="C11" s="52" t="str">
        <x:v>Cerrar jueves-miércoles -&gt; totalizar litros -&gt; aplicar precio/ajuste -&gt; imprimir sobre -&gt; pagar viernes.</x:v>
      </x:c>
      <x:c r="D11" s="52" t="str">
        <x:v>Confirmado; fórmulas de sanción pendientes.</x:v>
      </x:c>
    </x:row>
    <x:row r="12" ht="60" customHeight="1">
      <x:c r="A12" s="52" t="str">
        <x:v>PR-08</x:v>
      </x:c>
      <x:c r="B12" s="52" t="str">
        <x:v>Comunicaciones y capacitación</x:v>
      </x:c>
      <x:c r="C12" s="52" t="str">
        <x:v>Crear aviso/evento -&gt; seleccionar destinatarios -&gt; publicar/notificar -&gt; registrar asistencia/seguimiento.</x:v>
      </x:c>
      <x:c r="D12" s="52" t="str">
        <x:v>Confirmado; canal y cobertura pendientes.</x:v>
      </x:c>
    </x:row>
    <x:row r="13" ht="60" customHeight="1">
      <x:c r="A13" s="52" t="str">
        <x:v>PR-09</x:v>
      </x:c>
      <x:c r="B13" s="52" t="str">
        <x:v>Producción</x:v>
      </x:c>
      <x:c r="C13" s="52" t="str">
        <x:v>Registrar leche procesada -&gt; registrar producto obtenido -&gt; calcular rendimiento -&gt; actualizar existencias.</x:v>
      </x:c>
      <x:c r="D13" s="52" t="str">
        <x:v>Confirmado a nivel de necesidad; detalle productivo pendiente.</x:v>
      </x:c>
    </x:row>
    <x:row r="14" ht="60" customHeight="1">
      <x:c r="A14" s="52" t="str">
        <x:v>PR-10</x:v>
      </x:c>
      <x:c r="B14" s="52" t="str">
        <x:v>Venta y despacho</x:v>
      </x:c>
      <x:c r="C14" s="52" t="str">
        <x:v>Identificar cliente/tipo -&gt; aplicar precio vigente -&gt; registrar cantidad -&gt; actualizar saldo -&gt; reportar.</x:v>
      </x:c>
      <x:c r="D14" s="52" t="str">
        <x:v>Confirmado; unidades y precios pendientes.</x:v>
      </x:c>
    </x:row>
    <x:row r="15" ht="60" customHeight="1">
      <x:c r="A15" s="52" t="str">
        <x:v>PR-11</x:v>
      </x:c>
      <x:c r="B15" s="52" t="str">
        <x:v>Reportes y control</x:v>
      </x:c>
      <x:c r="C15" s="52" t="str">
        <x:v>Seleccionar periodo/filtros -&gt; consolidar datos -&gt; mostrar totales, diferencias, calidad, pagos, producción y ventas.</x:v>
      </x:c>
      <x:c r="D15" s="52" t="str">
        <x:v>Confirmado; formato/exportación pendientes.</x:v>
      </x:c>
    </x:row>
    <x:row r="16" ht="60" customHeight="1">
      <x:c r="A16" s="52" t="str">
        <x:v>PR-12</x:v>
      </x:c>
      <x:c r="B16" s="52" t="str">
        <x:v>Sincronización</x:v>
      </x:c>
      <x:c r="C16" s="52" t="str">
        <x:v>Crear operación local -&gt; asignar ID -&gt; enviar al recuperar conexión -&gt; confirmar o marcar conflicto.</x:v>
      </x:c>
      <x:c r="D16" s="52" t="str">
        <x:v>Necesidad confirmada; política detallada propuesta.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4c3073e3c6041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24" hidden="0" customWidth="1"/>
    <x:col min="5" max="5" width="52" hidden="0" customWidth="1"/>
  </x:cols>
  <x:sheetData>
    <x:row r="1" ht="30" customHeight="1">
      <x:c r="A1" s="35" t="str">
        <x:v>REGLAS DE NEGOCIO</x:v>
      </x:c>
      <x:c r="B1" s="35"/>
      <x:c r="C1" s="35"/>
      <x:c r="D1" s="35"/>
      <x:c r="E1" s="35"/>
    </x:row>
    <x:row r="2" ht="34" customHeight="1">
      <x:c r="A2" s="38" t="str">
        <x:v>Una regla describe lo que ocurre en el negocio. No se convierte en requisito ni sanción automática sin evidencia.</x:v>
      </x:c>
      <x:c r="B2" s="38"/>
      <x:c r="C2" s="38"/>
      <x:c r="D2" s="38"/>
      <x:c r="E2" s="38"/>
    </x:row>
    <x:row r="4" ht="34" customHeight="1">
      <x:c r="A4" s="50" t="str">
        <x:v>ID</x:v>
      </x:c>
      <x:c r="B4" s="50" t="str">
        <x:v>Regla de negocio</x:v>
      </x:c>
      <x:c r="C4" s="50" t="str">
        <x:v>Fuente</x:v>
      </x:c>
      <x:c r="D4" s="50" t="str">
        <x:v>Estado</x:v>
      </x:c>
      <x:c r="E4" s="50" t="str">
        <x:v>Observación</x:v>
      </x:c>
    </x:row>
    <x:row r="5" ht="62" customHeight="1">
      <x:c r="A5" s="51" t="str">
        <x:v>RN-01</x:v>
      </x:c>
      <x:c r="B5" s="51" t="str">
        <x:v>La leche se recibe por dos modalidades: acopio mediante rutas/acopiadores y entrega directa del proveedor en la planta.</x:v>
      </x:c>
      <x:c r="C5" s="51" t="str">
        <x:v>F1 37:45-39:13</x:v>
      </x:c>
      <x:c r="D5" s="51" t="str">
        <x:v>Confirmado</x:v>
      </x:c>
      <x:c r="E5" s="51" t="str">
        <x:v>Debe conservarse la modalidad en cada registro.</x:v>
      </x:c>
    </x:row>
    <x:row r="6" ht="62" customHeight="1">
      <x:c r="A6" s="52" t="str">
        <x:v>RN-02</x:v>
      </x:c>
      <x:c r="B6" s="52" t="str">
        <x:v>La planta organiza el acopio en cuatro zonas; los nombres y límites no aparecen en las transcripciones.</x:v>
      </x:c>
      <x:c r="C6" s="52" t="str">
        <x:v>F1 TW-F; F2 02:07 y bloque planillas</x:v>
      </x:c>
      <x:c r="D6" s="52" t="str">
        <x:v>Confirmado</x:v>
      </x:c>
      <x:c r="E6" s="52" t="str">
        <x:v>Cantidad actual confirmada; catálogo debe ser configurable.</x:v>
      </x:c>
    </x:row>
    <x:row r="7" ht="62" customHeight="1">
      <x:c r="A7" s="52" t="str">
        <x:v>RN-03</x:v>
      </x:c>
      <x:c r="B7" s="52" t="str">
        <x:v>Un proveedor puede cambiar de zona por disponibilidad estacional de pasto y la planilla de su ruta debe actualizarse.</x:v>
      </x:c>
      <x:c r="C7" s="52" t="str">
        <x:v>F1 TW-F 00:00-01:46; F2 bloque planillas</x:v>
      </x:c>
      <x:c r="D7" s="52" t="str">
        <x:v>Confirmado</x:v>
      </x:c>
      <x:c r="E7" s="52" t="str">
        <x:v>Se necesita historial de asignación.</x:v>
      </x:c>
    </x:row>
    <x:row r="8" ht="62" customHeight="1">
      <x:c r="A8" s="52" t="str">
        <x:v>RN-04</x:v>
      </x:c>
      <x:c r="B8" s="52" t="str">
        <x:v>El proveedor comunica su traslado de zona aproximadamente dos o tres días antes.</x:v>
      </x:c>
      <x:c r="C8" s="52" t="str">
        <x:v>F2 bloque movilidad de zonas</x:v>
      </x:c>
      <x:c r="D8" s="52" t="str">
        <x:v>Pendiente de validación</x:v>
      </x:c>
      <x:c r="E8" s="52" t="str">
        <x:v>Confirmar si es una anticipación obligatoria y cuál es el mínimo exacto.</x:v>
      </x:c>
    </x:row>
    <x:row r="9" ht="62" customHeight="1">
      <x:c r="A9" s="52" t="str">
        <x:v>RN-05</x:v>
      </x:c>
      <x:c r="B9" s="52" t="str">
        <x:v>Cada ruta utiliza una planilla actualizada con los proveedores esperados y espacios de registro diario.</x:v>
      </x:c>
      <x:c r="C9" s="52" t="str">
        <x:v>F1 TW-F 00:00-01:46</x:v>
      </x:c>
      <x:c r="D9" s="52" t="str">
        <x:v>Confirmado</x:v>
      </x:c>
      <x:c r="E9" s="52" t="str">
        <x:v>El formato exacto debe obtenerse de la planta.</x:v>
      </x:c>
    </x:row>
    <x:row r="10" ht="62" customHeight="1">
      <x:c r="A10" s="52" t="str">
        <x:v>RN-06</x:v>
      </x:c>
      <x:c r="B10" s="52" t="str">
        <x:v>El acopiador registra la cantidad correspondiente a cada proveedor en el punto de acopio.</x:v>
      </x:c>
      <x:c r="C10" s="52" t="str">
        <x:v>F2 03:04-05:19</x:v>
      </x:c>
      <x:c r="D10" s="52" t="str">
        <x:v>Confirmado</x:v>
      </x:c>
      <x:c r="E10" s="52" t="str">
        <x:v>La medición no debe reemplazarse por una estimación del recipiente.</x:v>
      </x:c>
    </x:row>
    <x:row r="11" ht="62" customHeight="1">
      <x:c r="A11" s="52" t="str">
        <x:v>RN-07</x:v>
      </x:c>
      <x:c r="B11" s="52" t="str">
        <x:v>El volumen total registrado en campo se contrasta con el volumen físico recibido al descargar en la planta.</x:v>
      </x:c>
      <x:c r="C11" s="52" t="str">
        <x:v>F1 TW-V2; F2 05:19-06:52</x:v>
      </x:c>
      <x:c r="D11" s="52" t="str">
        <x:v>Confirmado</x:v>
      </x:c>
      <x:c r="E11" s="52" t="str">
        <x:v>Tolerancia y responsable de resolución pendientes.</x:v>
      </x:c>
    </x:row>
    <x:row r="12" ht="62" customHeight="1">
      <x:c r="A12" s="52" t="str">
        <x:v>RN-08</x:v>
      </x:c>
      <x:c r="B12" s="52" t="str">
        <x:v>El control de calidad puede ejecutarse en campo con equipos portátiles y el resultado se entrega al proveedor y queda para la planta.</x:v>
      </x:c>
      <x:c r="C12" s="52" t="str">
        <x:v>F1 TW-F 01:47-03:17; F2 09:17-09:41</x:v>
      </x:c>
      <x:c r="D12" s="52" t="str">
        <x:v>Confirmado</x:v>
      </x:c>
      <x:c r="E12" s="52" t="str">
        <x:v>Actualmente se imprimen dos resultados; integración con impresora pendiente.</x:v>
      </x:c>
    </x:row>
    <x:row r="13" ht="62" customHeight="1">
      <x:c r="A13" s="52" t="str">
        <x:v>RN-09</x:v>
      </x:c>
      <x:c r="B13" s="52" t="str">
        <x:v>El análisis de leche considera grasa, proteína, lactosa, densidad, temperatura, agua añadida y pH.</x:v>
      </x:c>
      <x:c r="C13" s="52" t="str">
        <x:v>F2 06:57-07:31</x:v>
      </x:c>
      <x:c r="D13" s="52" t="str">
        <x:v>Confirmado con una fuente</x:v>
      </x:c>
      <x:c r="E13" s="52" t="str">
        <x:v>Confirmar unidades, precisión y si existen otros parámetros.</x:v>
      </x:c>
    </x:row>
    <x:row r="14" ht="62" customHeight="1">
      <x:c r="A14" s="52" t="str">
        <x:v>RN-10</x:v>
      </x:c>
      <x:c r="B14" s="52" t="str">
        <x:v>La adulteración con agua y la acidificación se tratan como incidencias diferentes.</x:v>
      </x:c>
      <x:c r="C14" s="52" t="str">
        <x:v>F2 07:31-13:25 y bloque sanciones</x:v>
      </x:c>
      <x:c r="D14" s="52" t="str">
        <x:v>Confirmado</x:v>
      </x:c>
      <x:c r="E14" s="52" t="str">
        <x:v>Las respuestas y severidad no son iguales.</x:v>
      </x:c>
    </x:row>
    <x:row r="15" ht="62" customHeight="1">
      <x:c r="A15" s="52" t="str">
        <x:v>RN-11</x:v>
      </x:c>
      <x:c r="B15" s="52" t="str">
        <x:v>La respuesta ante adulteración depende del porcentaje detectado y de la reincidencia; se mencionó un umbral de 5 %.</x:v>
      </x:c>
      <x:c r="C15" s="52" t="str">
        <x:v>F2 bloque sanciones</x:v>
      </x:c>
      <x:c r="D15" s="52" t="str">
        <x:v>Pendiente de validación</x:v>
      </x:c>
      <x:c r="E15" s="52" t="str">
        <x:v>No automatizar descuentos/retiros hasta confirmar umbral inclusivo, precios y consecuencias exactas.</x:v>
      </x:c>
    </x:row>
    <x:row r="16" ht="62" customHeight="1">
      <x:c r="A16" s="52" t="str">
        <x:v>RN-12</x:v>
      </x:c>
      <x:c r="B16" s="52" t="str">
        <x:v>Los controles de calidad inopinados no se comunican previamente a proveedores ni acopiadores.</x:v>
      </x:c>
      <x:c r="C16" s="52" t="str">
        <x:v>F2 bloque final de coordinación</x:v>
      </x:c>
      <x:c r="D16" s="52" t="str">
        <x:v>Confirmado con una fuente</x:v>
      </x:c>
      <x:c r="E16" s="52" t="str">
        <x:v>El sistema debe restringir la visibilidad de la programación.</x:v>
      </x:c>
    </x:row>
    <x:row r="17" ht="62" customHeight="1">
      <x:c r="A17" s="52" t="str">
        <x:v>RN-13</x:v>
      </x:c>
      <x:c r="B17" s="52" t="str">
        <x:v>La semana de acopio inicia el jueves y concluye el miércoles.</x:v>
      </x:c>
      <x:c r="C17" s="52" t="str">
        <x:v>F1 TW-F 00:00-01:46; F2 bloque planillas</x:v>
      </x:c>
      <x:c r="D17" s="52" t="str">
        <x:v>Confirmado</x:v>
      </x:c>
      <x:c r="E17" s="52" t="str">
        <x:v>Base para liquidación semanal.</x:v>
      </x:c>
    </x:row>
    <x:row r="18" ht="62" customHeight="1">
      <x:c r="A18" s="52" t="str">
        <x:v>RN-14</x:v>
      </x:c>
      <x:c r="B18" s="52" t="str">
        <x:v>El pago de la leche a proveedores se realiza cada viernes.</x:v>
      </x:c>
      <x:c r="C18" s="52" t="str">
        <x:v>F1 TW-F 00:00-01:46</x:v>
      </x:c>
      <x:c r="D18" s="52" t="str">
        <x:v>Confirmado</x:v>
      </x:c>
      <x:c r="E18" s="52" t="str">
        <x:v>Confirmar tratamiento de feriados o pagos tardíos.</x:v>
      </x:c>
    </x:row>
    <x:row r="19" ht="62" customHeight="1">
      <x:c r="A19" s="52" t="str">
        <x:v>RN-15</x:v>
      </x:c>
      <x:c r="B19" s="52" t="str">
        <x:v>La liquidación impresa muestra logo, días acopiados, litros totales, precio por litro y total semanal.</x:v>
      </x:c>
      <x:c r="C19" s="52" t="str">
        <x:v>F1 TW-F 00:00-01:46</x:v>
      </x:c>
      <x:c r="D19" s="52" t="str">
        <x:v>Confirmado</x:v>
      </x:c>
      <x:c r="E19" s="52" t="str">
        <x:v>Formato físico por obtener.</x:v>
      </x:c>
    </x:row>
    <x:row r="20" ht="62" customHeight="1">
      <x:c r="A20" s="52" t="str">
        <x:v>RN-16</x:v>
      </x:c>
      <x:c r="B20" s="52" t="str">
        <x:v>El precio pagado por litro puede cambiar según las condiciones y decisiones de la planta.</x:v>
      </x:c>
      <x:c r="C20" s="52" t="str">
        <x:v>F1 TW-F 05:15-09:03; F2 bloque precios de leche</x:v>
      </x:c>
      <x:c r="D20" s="52" t="str">
        <x:v>Confirmado</x:v>
      </x:c>
      <x:c r="E20" s="52" t="str">
        <x:v>Se propone vigencia por fecha para no alterar liquidaciones históricas.</x:v>
      </x:c>
    </x:row>
    <x:row r="21" ht="62" customHeight="1">
      <x:c r="A21" s="52" t="str">
        <x:v>RN-17</x:v>
      </x:c>
      <x:c r="B21" s="52" t="str">
        <x:v>Cada proveedor debe poder conocer su cantidad diaria, resumen semanal y resultados de calidad/adulteración.</x:v>
      </x:c>
      <x:c r="C21" s="52" t="str">
        <x:v>F1 30:43-37:22 y TW-F 10:19-13:25</x:v>
      </x:c>
      <x:c r="D21" s="52" t="str">
        <x:v>Confirmado</x:v>
      </x:c>
      <x:c r="E21" s="52" t="str">
        <x:v>Canal y momento exactos pendientes.</x:v>
      </x:c>
    </x:row>
    <x:row r="22" ht="62" customHeight="1">
      <x:c r="A22" s="52" t="str">
        <x:v>RN-18</x:v>
      </x:c>
      <x:c r="B22" s="52" t="str">
        <x:v>Los mensajes de la planta deben distinguirse de otras comunicaciones que recibe el proveedor.</x:v>
      </x:c>
      <x:c r="C22" s="52" t="str">
        <x:v>F1 30:43-33:38</x:v>
      </x:c>
      <x:c r="D22" s="52" t="str">
        <x:v>Confirmado</x:v>
      </x:c>
      <x:c r="E22" s="52" t="str">
        <x:v>Señal visual/sonora exacta pendiente.</x:v>
      </x:c>
    </x:row>
    <x:row r="23" ht="62" customHeight="1">
      <x:c r="A23" s="52" t="str">
        <x:v>RN-19</x:v>
      </x:c>
      <x:c r="B23" s="52" t="str">
        <x:v>Las reuniones generales con proveedores se realizan aproximadamente dos veces al año y también existen capacitaciones individuales en los hatos.</x:v>
      </x:c>
      <x:c r="C23" s="52" t="str">
        <x:v>F1 TW-F 13:17-15:06; F2 12:47-13:25</x:v>
      </x:c>
      <x:c r="D23" s="52" t="str">
        <x:v>Confirmado</x:v>
      </x:c>
      <x:c r="E23" s="52" t="str">
        <x:v>Frecuencia futura y tipos de actividad pendientes.</x:v>
      </x:c>
    </x:row>
    <x:row r="24" ht="62" customHeight="1">
      <x:c r="A24" s="52" t="str">
        <x:v>RN-20</x:v>
      </x:c>
      <x:c r="B24" s="52" t="str">
        <x:v>La planta desea registrar la asistencia a reuniones o capacitaciones.</x:v>
      </x:c>
      <x:c r="C24" s="52" t="str">
        <x:v>F1 33:38-37:22</x:v>
      </x:c>
      <x:c r="D24" s="52" t="str">
        <x:v>Confirmado</x:v>
      </x:c>
      <x:c r="E24" s="52" t="str">
        <x:v>Método y estados pendientes.</x:v>
      </x:c>
    </x:row>
    <x:row r="25" ht="62" customHeight="1">
      <x:c r="A25" s="52" t="str">
        <x:v>RN-21</x:v>
      </x:c>
      <x:c r="B25" s="52" t="str">
        <x:v>El rendimiento productivo relaciona la leche procesada con la cantidad de queso obtenida, expresada de forma ilustrativa por cada 100 litros.</x:v>
      </x:c>
      <x:c r="C25" s="52" t="str">
        <x:v>F1 TW-V2; F2 13:29-14:22</x:v>
      </x:c>
      <x:c r="D25" s="52" t="str">
        <x:v>Confirmado</x:v>
      </x:c>
      <x:c r="E25" s="52" t="str">
        <x:v>No fijar 11/12 como meta hasta confirmar producto, peso y unidad.</x:v>
      </x:c>
    </x:row>
    <x:row r="26" ht="62" customHeight="1">
      <x:c r="A26" s="52" t="str">
        <x:v>RN-22</x:v>
      </x:c>
      <x:c r="B26" s="52" t="str">
        <x:v>La planta diferencia al menos clientes mayoristas, proveedores que compran y público general, con precios posiblemente distintos.</x:v>
      </x:c>
      <x:c r="C26" s="52" t="str">
        <x:v>F1 TW-F; F2 bloque clientes</x:v>
      </x:c>
      <x:c r="D26" s="52" t="str">
        <x:v>Confirmado</x:v>
      </x:c>
      <x:c r="E26" s="52" t="str">
        <x:v>Precios contradictorios; usar catálogo con vigencia.</x:v>
      </x:c>
    </x:row>
    <x:row r="27" ht="62" customHeight="1">
      <x:c r="A27" s="52" t="str">
        <x:v>RN-23</x:v>
      </x:c>
      <x:c r="B27" s="52" t="str">
        <x:v>El acceso de proveedores a un celular es limitado; se estimó aproximadamente 25 %.</x:v>
      </x:c>
      <x:c r="C27" s="52" t="str">
        <x:v>F1 TW-F 13:17-15:06</x:v>
      </x:c>
      <x:c r="D27" s="52" t="str">
        <x:v>Pendiente de validación</x:v>
      </x:c>
      <x:c r="E27" s="52" t="str">
        <x:v>La cifra afecta el canal y la estrategia de adopción.</x:v>
      </x:c>
    </x:row>
    <x:row r="28" ht="62" customHeight="1">
      <x:c r="A28" s="52" t="str">
        <x:v>RN-24</x:v>
      </x:c>
      <x:c r="B28" s="52" t="str">
        <x:v>La integración con caudalímetro o sensor requiere infraestructura e inversión y se posterga de la primera versión de software.</x:v>
      </x:c>
      <x:c r="C28" s="52" t="str">
        <x:v>F2 bloque sensor/primera versión</x:v>
      </x:c>
      <x:c r="D28" s="52" t="str">
        <x:v>Confirmado</x:v>
      </x:c>
      <x:c r="E28" s="52" t="str">
        <x:v>Se mantiene una interfaz futura, sin compra ni instalación en v0.1.0.</x:v>
      </x:c>
    </x:row>
    <x:row r="29" ht="62" customHeight="1">
      <x:c r="A29" s="52" t="str">
        <x:v>RN-25</x:v>
      </x:c>
      <x:c r="B29" s="52" t="str">
        <x:v>El alcance actual corresponde a la planta municipal del distrito de Huata; otras plantas pequeñas no fueron incluidas.</x:v>
      </x:c>
      <x:c r="C29" s="52" t="str">
        <x:v>F1 TW-F 12:12-13:16</x:v>
      </x:c>
      <x:c r="D29" s="52" t="str">
        <x:v>Confirmado con una fuente</x:v>
      </x:c>
      <x:c r="E29" s="52" t="str">
        <x:v>Validar si la municipalidad quiere expansión futura.</x:v>
      </x:c>
    </x:row>
    <x:row r="30" ht="62" customHeight="1">
      <x:c r="A30" s="52" t="str">
        <x:v>RN-26</x:v>
      </x:c>
      <x:c r="B30" s="52" t="str">
        <x:v>Los controles de calidad por acidificación priorizan capacitación y corrección antes que una sanción equivalente a adulteración.</x:v>
      </x:c>
      <x:c r="C30" s="52" t="str">
        <x:v>F2 bloque sanciones</x:v>
      </x:c>
      <x:c r="D30" s="52" t="str">
        <x:v>Confirmado con una fuente</x:v>
      </x:c>
      <x:c r="E30" s="52" t="str">
        <x:v>Número de oportunidades y medidas exactas pendientes.</x:v>
      </x:c>
    </x:row>
  </x:sheetData>
  <x:mergeCells>
    <x:mergeCell ref="A1:E1"/>
    <x:mergeCell ref="A2:E2"/>
  </x:mergeCells>
  <x:conditionalFormatting sqref="D5:D30">
    <x:cfRule type="containsText" dxfId="0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25c656eddb0b4d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74" hidden="0" customWidth="1"/>
    <x:col min="4" max="4" width="15" hidden="0" customWidth="1"/>
    <x:col min="5" max="5" width="20" hidden="0" customWidth="1"/>
    <x:col min="6" max="6" width="28" hidden="0" customWidth="1"/>
    <x:col min="7" max="7" width="32" hidden="0" customWidth="1"/>
    <x:col min="8" max="8" width="28" hidden="0" customWidth="1"/>
    <x:col min="9" max="9" width="12" hidden="0" customWidth="1"/>
    <x:col min="10" max="10" width="64" hidden="0" customWidth="1"/>
    <x:col min="11" max="11" width="28" hidden="0" customWidth="1"/>
    <x:col min="12" max="12" width="26" hidden="0" customWidth="1"/>
    <x:col min="13" max="13" width="20" hidden="0" customWidth="1"/>
  </x:cols>
  <x:sheetData>
    <x:row r="1" ht="30" customHeight="1">
      <x:c r="A1" s="35" t="str">
        <x:v>MATRIZ DE REQUERIMIENTOS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4" customHeight="1">
      <x:c r="A2" s="38" t="str">
        <x:v>36 RF + 12 RNF. Las diez columnas académicas están presentes y se añaden estado de evidencia e implementación.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4" ht="34" customHeight="1">
      <x:c r="A4" s="50" t="str">
        <x:v>ID</x:v>
      </x:c>
      <x:c r="B4" s="50" t="str">
        <x:v>Nombre</x:v>
      </x:c>
      <x:c r="C4" s="50" t="str">
        <x:v>Descripción (El sistema deberá…)</x:v>
      </x:c>
      <x:c r="D4" s="50" t="str">
        <x:v>Tipo</x:v>
      </x:c>
      <x:c r="E4" s="50" t="str">
        <x:v>Categoría RNF</x:v>
      </x:c>
      <x:c r="F4" s="50" t="str">
        <x:v>Actor / interesado</x:v>
      </x:c>
      <x:c r="G4" s="50" t="str">
        <x:v>Origen</x:v>
      </x:c>
      <x:c r="H4" s="50" t="str">
        <x:v>Estado evidencia</x:v>
      </x:c>
      <x:c r="I4" s="50" t="str">
        <x:v>Prioridad</x:v>
      </x:c>
      <x:c r="J4" s="50" t="str">
        <x:v>Criterio de aceptación</x:v>
      </x:c>
      <x:c r="K4" s="50" t="str">
        <x:v>Componente</x:v>
      </x:c>
      <x:c r="L4" s="50" t="str">
        <x:v>Dependencias</x:v>
      </x:c>
      <x:c r="M4" s="50" t="str">
        <x:v>Estado implementación</x:v>
      </x:c>
    </x:row>
    <x:row r="5" ht="72" customHeight="1">
      <x:c r="A5" s="51" t="str">
        <x:v>RF-01</x:v>
      </x:c>
      <x:c r="B5" s="51" t="str">
        <x:v>Registrar proveedor</x:v>
      </x:c>
      <x:c r="C5" s="51" t="str">
        <x:v>El sistema deberá registrar a un proveedor para que la planta pueda identificarlo durante el acopio, conservando como mínimo nombre, DNI y celular y dejando los demás campos como configurables hasta su validación.</x:v>
      </x:c>
      <x:c r="D5" s="51" t="str">
        <x:v>Funcional</x:v>
      </x:c>
      <x:c r="E5" s="51" t="str">
        <x:v>-</x:v>
      </x:c>
      <x:c r="F5" s="51" t="str">
        <x:v>Administración</x:v>
      </x:c>
      <x:c r="G5" s="51" t="str">
        <x:v>RN-05; F1 TW-F</x:v>
      </x:c>
      <x:c r="H5" s="51" t="str">
        <x:v>Confirmado con campos parciales</x:v>
      </x:c>
      <x:c r="I5" s="51" t="str">
        <x:v>Must</x:v>
      </x:c>
      <x:c r="J5" s="51" t="str">
        <x:v>Con nombre, DNI y celular válidos se crea un proveedor con ID único; un DNI ya registrado o la ausencia de un campo confirmado impide el alta y muestra el motivo.</x:v>
      </x:c>
      <x:c r="K5" s="51" t="str">
        <x:v>Proveedores</x:v>
      </x:c>
      <x:c r="L5" s="51" t="str">
        <x:v>RF-34</x:v>
      </x:c>
      <x:c r="M5" s="51" t="str">
        <x:v>No implementado</x:v>
      </x:c>
    </x:row>
    <x:row r="6" ht="72" customHeight="1">
      <x:c r="A6" s="52" t="str">
        <x:v>RF-02</x:v>
      </x:c>
      <x:c r="B6" s="52" t="str">
        <x:v>Actualizar ubicación del proveedor</x:v>
      </x:c>
      <x:c r="C6" s="52" t="str">
        <x:v>El sistema deberá registrar los cambios de zona y ruta de un proveedor para que la planilla de acopio refleje su ubicación vigente, conservando fecha de inicio, fin e historial.</x:v>
      </x:c>
      <x:c r="D6" s="52" t="str">
        <x:v>Funcional</x:v>
      </x:c>
      <x:c r="E6" s="52" t="str">
        <x:v>-</x:v>
      </x:c>
      <x:c r="F6" s="52" t="str">
        <x:v>Administración / Acopiador</x:v>
      </x:c>
      <x:c r="G6" s="52" t="str">
        <x:v>RN-02, RN-03, RN-04</x:v>
      </x:c>
      <x:c r="H6" s="52" t="str">
        <x:v>Confirmado; anticipación pendiente</x:v>
      </x:c>
      <x:c r="I6" s="52" t="str">
        <x:v>Must</x:v>
      </x:c>
      <x:c r="J6" s="52" t="str">
        <x:v>Al entrar en vigencia una nueva asignación, el proveedor aparece solo en la planilla vigente y la asignación anterior continúa consultable sin sobrescribirse.</x:v>
      </x:c>
      <x:c r="K6" s="52" t="str">
        <x:v>Proveedores y rutas</x:v>
      </x:c>
      <x:c r="L6" s="52" t="str">
        <x:v>RF-01, RF-04</x:v>
      </x:c>
      <x:c r="M6" s="52" t="str">
        <x:v>No implementado</x:v>
      </x:c>
    </x:row>
    <x:row r="7" ht="72" customHeight="1">
      <x:c r="A7" s="52" t="str">
        <x:v>RF-03</x:v>
      </x:c>
      <x:c r="B7" s="52" t="str">
        <x:v>Consultar historial del proveedor</x:v>
      </x:c>
      <x:c r="C7" s="52" t="str">
        <x:v>El sistema deberá mostrar el historial de acopios, calidad, liquidaciones, pagos e incidencias para que el personal autorizado y el proveedor puedan verificar lo registrado, respetando sus permisos.</x:v>
      </x:c>
      <x:c r="D7" s="52" t="str">
        <x:v>Funcional</x:v>
      </x:c>
      <x:c r="E7" s="52" t="str">
        <x:v>-</x:v>
      </x:c>
      <x:c r="F7" s="52" t="str">
        <x:v>Responsable de planta / Proveedor</x:v>
      </x:c>
      <x:c r="G7" s="52" t="str">
        <x:v>RN-17</x:v>
      </x:c>
      <x:c r="H7" s="52" t="str">
        <x:v>Confirmado</x:v>
      </x:c>
      <x:c r="I7" s="52" t="str">
        <x:v>Should</x:v>
      </x:c>
      <x:c r="J7" s="52" t="str">
        <x:v>Para un proveedor y periodo se muestran únicamente sus registros y los totales coinciden con las fuentes de cada módulo.</x:v>
      </x:c>
      <x:c r="K7" s="52" t="str">
        <x:v>Consulta del proveedor</x:v>
      </x:c>
      <x:c r="L7" s="52" t="str">
        <x:v>RF-01, RF-06, RF-14, RF-22, RF-34</x:v>
      </x:c>
      <x:c r="M7" s="52" t="str">
        <x:v>No implementado</x:v>
      </x:c>
    </x:row>
    <x:row r="8" ht="72" customHeight="1">
      <x:c r="A8" s="52" t="str">
        <x:v>RF-04</x:v>
      </x:c>
      <x:c r="B8" s="52" t="str">
        <x:v>Administrar zonas y rutas</x:v>
      </x:c>
      <x:c r="C8" s="52" t="str">
        <x:v>El sistema deberá registrar zonas y rutas activas para que la planta organice la cobertura del acopio, permitiendo relacionar proveedores, unidades y personal con vigencia.</x:v>
      </x:c>
      <x:c r="D8" s="52" t="str">
        <x:v>Funcional</x:v>
      </x:c>
      <x:c r="E8" s="52" t="str">
        <x:v>-</x:v>
      </x:c>
      <x:c r="F8" s="52" t="str">
        <x:v>Administración</x:v>
      </x:c>
      <x:c r="G8" s="52" t="str">
        <x:v>RN-02, RN-05</x:v>
      </x:c>
      <x:c r="H8" s="52" t="str">
        <x:v>Confirmado</x:v>
      </x:c>
      <x:c r="I8" s="52" t="str">
        <x:v>Must</x:v>
      </x:c>
      <x:c r="J8" s="52" t="str">
        <x:v>Una ruta activa pertenece a una zona existente; una ruta inactiva no puede recibir nuevas asignaciones pero conserva su historial.</x:v>
      </x:c>
      <x:c r="K8" s="52" t="str">
        <x:v>Proveedores y rutas</x:v>
      </x:c>
      <x:c r="L8" s="52" t="str">
        <x:v>RF-34</x:v>
      </x:c>
      <x:c r="M8" s="52" t="str">
        <x:v>No implementado</x:v>
      </x:c>
    </x:row>
    <x:row r="9" ht="72" customHeight="1">
      <x:c r="A9" s="52" t="str">
        <x:v>RF-05</x:v>
      </x:c>
      <x:c r="B9" s="52" t="str">
        <x:v>Programar jornada de acopio</x:v>
      </x:c>
      <x:c r="C9" s="52" t="str">
        <x:v>El sistema deberá programar una jornada de acopio para que la planta asigne ruta, unidad, personal y hora prevista de salida sin fijar permanentemente los horarios mencionados en la entrevista.</x:v>
      </x:c>
      <x:c r="D9" s="52" t="str">
        <x:v>Funcional</x:v>
      </x:c>
      <x:c r="E9" s="52" t="str">
        <x:v>-</x:v>
      </x:c>
      <x:c r="F9" s="52" t="str">
        <x:v>Responsable de planta</x:v>
      </x:c>
      <x:c r="G9" s="52" t="str">
        <x:v>F2 01:04-03:14</x:v>
      </x:c>
      <x:c r="H9" s="52" t="str">
        <x:v>Confirmado con detalle pendiente</x:v>
      </x:c>
      <x:c r="I9" s="52" t="str">
        <x:v>Should</x:v>
      </x:c>
      <x:c r="J9" s="52" t="str">
        <x:v>La jornada solo se confirma con ruta, fecha, unidad y responsables vigentes; no se permiten dos asignaciones incompatibles para la misma unidad y horario.</x:v>
      </x:c>
      <x:c r="K9" s="52" t="str">
        <x:v>Planificación de acopio</x:v>
      </x:c>
      <x:c r="L9" s="52" t="str">
        <x:v>RF-04, RF-34</x:v>
      </x:c>
      <x:c r="M9" s="52" t="str">
        <x:v>No implementado</x:v>
      </x:c>
    </x:row>
    <x:row r="10" ht="72" customHeight="1">
      <x:c r="A10" s="52" t="str">
        <x:v>RF-06</x:v>
      </x:c>
      <x:c r="B10" s="52" t="str">
        <x:v>Registrar acopio en campo</x:v>
      </x:c>
      <x:c r="C10" s="52" t="str">
        <x:v>El sistema deberá registrar por proveedor la leche recibida en campo para que el acopiador documente la cantidad real, fecha, hora, ruta, unidad y responsable en el punto de acopio.</x:v>
      </x:c>
      <x:c r="D10" s="52" t="str">
        <x:v>Funcional</x:v>
      </x:c>
      <x:c r="E10" s="52" t="str">
        <x:v>-</x:v>
      </x:c>
      <x:c r="F10" s="52" t="str">
        <x:v>Acopiador</x:v>
      </x:c>
      <x:c r="G10" s="52" t="str">
        <x:v>RN-05, RN-06</x:v>
      </x:c>
      <x:c r="H10" s="52" t="str">
        <x:v>Confirmado</x:v>
      </x:c>
      <x:c r="I10" s="52" t="str">
        <x:v>Must</x:v>
      </x:c>
      <x:c r="J10" s="52" t="str">
        <x:v>Una cantidad numérica mayor que cero genera un registro con ID único; cero, negativos, texto o proveedor no asignado se rechazan y no alteran los totales.</x:v>
      </x:c>
      <x:c r="K10" s="52" t="str">
        <x:v>Acopio</x:v>
      </x:c>
      <x:c r="L10" s="52" t="str">
        <x:v>RF-01, RF-02, RF-05</x:v>
      </x:c>
      <x:c r="M10" s="52" t="str">
        <x:v>No implementado</x:v>
      </x:c>
    </x:row>
    <x:row r="11" ht="72" customHeight="1">
      <x:c r="A11" s="52" t="str">
        <x:v>RF-07</x:v>
      </x:c>
      <x:c r="B11" s="52" t="str">
        <x:v>Registrar entrega directa</x:v>
      </x:c>
      <x:c r="C11" s="52" t="str">
        <x:v>El sistema deberá registrar la leche que un proveedor entrega directamente en planta para que se diferencie del acopio por ruta y se incluya en su historial y liquidación.</x:v>
      </x:c>
      <x:c r="D11" s="52" t="str">
        <x:v>Funcional</x:v>
      </x:c>
      <x:c r="E11" s="52" t="str">
        <x:v>-</x:v>
      </x:c>
      <x:c r="F11" s="52" t="str">
        <x:v>Recepción de planta</x:v>
      </x:c>
      <x:c r="G11" s="52" t="str">
        <x:v>RN-01</x:v>
      </x:c>
      <x:c r="H11" s="52" t="str">
        <x:v>Confirmado</x:v>
      </x:c>
      <x:c r="I11" s="52" t="str">
        <x:v>Must</x:v>
      </x:c>
      <x:c r="J11" s="52" t="str">
        <x:v>El registro confirmado queda asociado al proveedor, fecha, cantidad y modalidad DIRECTA y no exige una ruta de acopio.</x:v>
      </x:c>
      <x:c r="K11" s="52" t="str">
        <x:v>Acopio</x:v>
      </x:c>
      <x:c r="L11" s="52" t="str">
        <x:v>RF-01, RF-34</x:v>
      </x:c>
      <x:c r="M11" s="52" t="str">
        <x:v>No implementado</x:v>
      </x:c>
    </x:row>
    <x:row r="12" ht="72" customHeight="1">
      <x:c r="A12" s="52" t="str">
        <x:v>RF-08</x:v>
      </x:c>
      <x:c r="B12" s="52" t="str">
        <x:v>Guardar acopios sin Internet</x:v>
      </x:c>
      <x:c r="C12" s="52" t="str">
        <x:v>El sistema deberá almacenar localmente los acopios capturados sin conexión para que el acopiador continúe trabajando y pueda consultarlos después de cerrar y abrir la aplicación.</x:v>
      </x:c>
      <x:c r="D12" s="52" t="str">
        <x:v>Funcional</x:v>
      </x:c>
      <x:c r="E12" s="52" t="str">
        <x:v>-</x:v>
      </x:c>
      <x:c r="F12" s="52" t="str">
        <x:v>Acopiador</x:v>
      </x:c>
      <x:c r="G12" s="52" t="str">
        <x:v>F1 22:35-23:07; RNF-01</x:v>
      </x:c>
      <x:c r="H12" s="52" t="str">
        <x:v>Confirmado</x:v>
      </x:c>
      <x:c r="I12" s="52" t="str">
        <x:v>Must</x:v>
      </x:c>
      <x:c r="J12" s="52" t="str">
        <x:v>Sin red, un acopio válido recibe ID local y estado PENDIENTE; tras reiniciar la aplicación conserva todos sus datos y permanece disponible para sincronizar.</x:v>
      </x:c>
      <x:c r="K12" s="52" t="str">
        <x:v>Sincronización</x:v>
      </x:c>
      <x:c r="L12" s="52" t="str">
        <x:v>RF-06</x:v>
      </x:c>
      <x:c r="M12" s="52" t="str">
        <x:v>No implementado</x:v>
      </x:c>
    </x:row>
    <x:row r="13" ht="72" customHeight="1">
      <x:c r="A13" s="52" t="str">
        <x:v>RF-09</x:v>
      </x:c>
      <x:c r="B13" s="52" t="str">
        <x:v>Sincronizar operaciones pendientes</x:v>
      </x:c>
      <x:c r="C13" s="52" t="str">
        <x:v>El sistema deberá enviar al servidor las operaciones locales pendientes cuando exista conectividad para que cada una se confirme una sola vez y los conflictos queden visibles.</x:v>
      </x:c>
      <x:c r="D13" s="52" t="str">
        <x:v>Funcional</x:v>
      </x:c>
      <x:c r="E13" s="52" t="str">
        <x:v>-</x:v>
      </x:c>
      <x:c r="F13" s="52" t="str">
        <x:v>Acopiador / Sistema</x:v>
      </x:c>
      <x:c r="G13" s="52" t="str">
        <x:v>F1 22:35-23:07; RNF-02</x:v>
      </x:c>
      <x:c r="H13" s="52" t="str">
        <x:v>Confirmado con política propuesta</x:v>
      </x:c>
      <x:c r="I13" s="52" t="str">
        <x:v>Must</x:v>
      </x:c>
      <x:c r="J13" s="52" t="str">
        <x:v>Reintentos con el mismo ID no duplican datos; una diferencia de versión produce estado CONFLICTO y no sobrescribe silenciosamente.</x:v>
      </x:c>
      <x:c r="K13" s="52" t="str">
        <x:v>Sincronización</x:v>
      </x:c>
      <x:c r="L13" s="52" t="str">
        <x:v>RF-08</x:v>
      </x:c>
      <x:c r="M13" s="52" t="str">
        <x:v>No implementado</x:v>
      </x:c>
    </x:row>
    <x:row r="14" ht="72" customHeight="1">
      <x:c r="A14" s="52" t="str">
        <x:v>RF-10</x:v>
      </x:c>
      <x:c r="B14" s="52" t="str">
        <x:v>Registrar recepción en planta</x:v>
      </x:c>
      <x:c r="C14" s="52" t="str">
        <x:v>El sistema deberá registrar el volumen físico recibido por cada unidad, ruta o entrega directa para que la planta conozca la cantidad descargada.</x:v>
      </x:c>
      <x:c r="D14" s="52" t="str">
        <x:v>Funcional</x:v>
      </x:c>
      <x:c r="E14" s="52" t="str">
        <x:v>-</x:v>
      </x:c>
      <x:c r="F14" s="52" t="str">
        <x:v>Recepción de planta</x:v>
      </x:c>
      <x:c r="G14" s="52" t="str">
        <x:v>RN-07</x:v>
      </x:c>
      <x:c r="H14" s="52" t="str">
        <x:v>Confirmado</x:v>
      </x:c>
      <x:c r="I14" s="52" t="str">
        <x:v>Must</x:v>
      </x:c>
      <x:c r="J14" s="52" t="str">
        <x:v>Una recepción válida registra cantidad mayor que cero, fecha, origen y responsable; datos inválidos no generan recepción.</x:v>
      </x:c>
      <x:c r="K14" s="52" t="str">
        <x:v>Recepción</x:v>
      </x:c>
      <x:c r="L14" s="52" t="str">
        <x:v>RF-05 o RF-07</x:v>
      </x:c>
      <x:c r="M14" s="52" t="str">
        <x:v>No implementado</x:v>
      </x:c>
    </x:row>
    <x:row r="15" ht="72" customHeight="1">
      <x:c r="A15" s="52" t="str">
        <x:v>RF-11</x:v>
      </x:c>
      <x:c r="B15" s="52" t="str">
        <x:v>Conciliar campo y planta</x:v>
      </x:c>
      <x:c r="C15" s="52" t="str">
        <x:v>El sistema deberá comparar la suma de acopios de una jornada con el volumen recibido en planta para que el responsable identifique faltantes o excedentes.</x:v>
      </x:c>
      <x:c r="D15" s="52" t="str">
        <x:v>Funcional</x:v>
      </x:c>
      <x:c r="E15" s="52" t="str">
        <x:v>-</x:v>
      </x:c>
      <x:c r="F15" s="52" t="str">
        <x:v>Responsable de planta</x:v>
      </x:c>
      <x:c r="G15" s="52" t="str">
        <x:v>RN-07</x:v>
      </x:c>
      <x:c r="H15" s="52" t="str">
        <x:v>Confirmado</x:v>
      </x:c>
      <x:c r="I15" s="52" t="str">
        <x:v>Must</x:v>
      </x:c>
      <x:c r="J15" s="52" t="str">
        <x:v>Si ambos valores coinciden, el estado es CONFORME; si difieren, se crea una discrepancia con ambos valores y diferencia calculada. La tolerancia, si existiera, queda pendiente.</x:v>
      </x:c>
      <x:c r="K15" s="52" t="str">
        <x:v>Recepción y conciliación</x:v>
      </x:c>
      <x:c r="L15" s="52" t="str">
        <x:v>RF-06, RF-07, RF-10</x:v>
      </x:c>
      <x:c r="M15" s="52" t="str">
        <x:v>No implementado</x:v>
      </x:c>
    </x:row>
    <x:row r="16" ht="72" customHeight="1">
      <x:c r="A16" s="52" t="str">
        <x:v>RF-12</x:v>
      </x:c>
      <x:c r="B16" s="52" t="str">
        <x:v>Resolver discrepancia</x:v>
      </x:c>
      <x:c r="C16" s="52" t="str">
        <x:v>El sistema deberá permitir documentar la investigación, corrección o cierre de una discrepancia para que la planta conserve quién decidió, qué cambió y por qué.</x:v>
      </x:c>
      <x:c r="D16" s="52" t="str">
        <x:v>Funcional</x:v>
      </x:c>
      <x:c r="E16" s="52" t="str">
        <x:v>-</x:v>
      </x:c>
      <x:c r="F16" s="52" t="str">
        <x:v>Responsable de planta</x:v>
      </x:c>
      <x:c r="G16" s="52" t="str">
        <x:v>Necesidad derivada de RN-07</x:v>
      </x:c>
      <x:c r="H16" s="52" t="str">
        <x:v>Inferido necesario</x:v>
      </x:c>
      <x:c r="I16" s="52" t="str">
        <x:v>Should</x:v>
      </x:c>
      <x:c r="J16" s="52" t="str">
        <x:v>Cada cambio conserva valor anterior, nuevo valor, motivo, usuario y fecha; no puede cerrarse sin responsable y observación.</x:v>
      </x:c>
      <x:c r="K16" s="52" t="str">
        <x:v>Recepción y conciliación</x:v>
      </x:c>
      <x:c r="L16" s="52" t="str">
        <x:v>RF-11, RF-35</x:v>
      </x:c>
      <x:c r="M16" s="52" t="str">
        <x:v>No implementado</x:v>
      </x:c>
    </x:row>
    <x:row r="17" ht="72" customHeight="1">
      <x:c r="A17" s="52" t="str">
        <x:v>RF-13</x:v>
      </x:c>
      <x:c r="B17" s="52" t="str">
        <x:v>Integrar caudalímetro</x:v>
      </x:c>
      <x:c r="C17" s="52" t="str">
        <x:v>El sistema deberá poder recibir en una fase futura la medición de un caudalímetro para que el volumen de recepción pueda incorporarse automáticamente sin alterar el dominio.</x:v>
      </x:c>
      <x:c r="D17" s="52" t="str">
        <x:v>Funcional</x:v>
      </x:c>
      <x:c r="E17" s="52" t="str">
        <x:v>-</x:v>
      </x:c>
      <x:c r="F17" s="52" t="str">
        <x:v>Recepción de planta</x:v>
      </x:c>
      <x:c r="G17" s="52" t="str">
        <x:v>RN-24</x:v>
      </x:c>
      <x:c r="H17" s="52" t="str">
        <x:v>Confirmado como futuro</x:v>
      </x:c>
      <x:c r="I17" s="52" t="str">
        <x:v>Won't</x:v>
      </x:c>
      <x:c r="J17" s="52" t="str">
        <x:v>No se implementa en v0.1.0; la arquitectura conserva un puerto documentado y una prueba con simulador antes de integrar hardware real.</x:v>
      </x:c>
      <x:c r="K17" s="52" t="str">
        <x:v>Adaptadores de dispositivos</x:v>
      </x:c>
      <x:c r="L17" s="52" t="str">
        <x:v>RF-10, RNF-12</x:v>
      </x:c>
      <x:c r="M17" s="52" t="str">
        <x:v>No implementado</x:v>
      </x:c>
    </x:row>
    <x:row r="18" ht="72" customHeight="1">
      <x:c r="A18" s="52" t="str">
        <x:v>RF-14</x:v>
      </x:c>
      <x:c r="B18" s="52" t="str">
        <x:v>Registrar análisis de calidad</x:v>
      </x:c>
      <x:c r="C18" s="52" t="str">
        <x:v>El sistema deberá registrar el análisis de una muestra para que control de calidad conserve proveedor, acopio, fecha, equipo, responsable y los parámetros medidos disponibles.</x:v>
      </x:c>
      <x:c r="D18" s="52" t="str">
        <x:v>Funcional</x:v>
      </x:c>
      <x:c r="E18" s="52" t="str">
        <x:v>-</x:v>
      </x:c>
      <x:c r="F18" s="52" t="str">
        <x:v>Control de calidad</x:v>
      </x:c>
      <x:c r="G18" s="52" t="str">
        <x:v>RN-08, RN-09</x:v>
      </x:c>
      <x:c r="H18" s="52" t="str">
        <x:v>Confirmado</x:v>
      </x:c>
      <x:c r="I18" s="52" t="str">
        <x:v>Must</x:v>
      </x:c>
      <x:c r="J18" s="52" t="str">
        <x:v>Un análisis se guarda solo con proveedor/acopio, responsable y todos los parámetros declarados obligatorios; unidades, rangos y precisión se parametrizan tras validación.</x:v>
      </x:c>
      <x:c r="K18" s="52" t="str">
        <x:v>Control de calidad</x:v>
      </x:c>
      <x:c r="L18" s="52" t="str">
        <x:v>RF-06 o RF-07, RF-36</x:v>
      </x:c>
      <x:c r="M18" s="52" t="str">
        <x:v>No implementado</x:v>
      </x:c>
    </x:row>
    <x:row r="19" ht="72" customHeight="1">
      <x:c r="A19" s="52" t="str">
        <x:v>RF-15</x:v>
      </x:c>
      <x:c r="B19" s="52" t="str">
        <x:v>Entregar resultado de calidad</x:v>
      </x:c>
      <x:c r="C19" s="52" t="str">
        <x:v>El sistema deberá generar y permitir consultar el resultado de un análisis para que proveedor y planta compartan la misma evidencia, en formato digital y, si se confirma, imprimible.</x:v>
      </x:c>
      <x:c r="D19" s="52" t="str">
        <x:v>Funcional</x:v>
      </x:c>
      <x:c r="E19" s="52" t="str">
        <x:v>-</x:v>
      </x:c>
      <x:c r="F19" s="52" t="str">
        <x:v>Control de calidad / Proveedor</x:v>
      </x:c>
      <x:c r="G19" s="52" t="str">
        <x:v>RN-08, RN-17</x:v>
      </x:c>
      <x:c r="H19" s="52" t="str">
        <x:v>Confirmado</x:v>
      </x:c>
      <x:c r="I19" s="52" t="str">
        <x:v>Must</x:v>
      </x:c>
      <x:c r="J19" s="52" t="str">
        <x:v>El resultado contiene ID de análisis, proveedor, fecha, parámetros y estado; la copia del proveedor coincide con el registro almacenado.</x:v>
      </x:c>
      <x:c r="K19" s="52" t="str">
        <x:v>Control de calidad</x:v>
      </x:c>
      <x:c r="L19" s="52" t="str">
        <x:v>RF-14</x:v>
      </x:c>
      <x:c r="M19" s="52" t="str">
        <x:v>No implementado</x:v>
      </x:c>
    </x:row>
    <x:row r="20" ht="72" customHeight="1">
      <x:c r="A20" s="52" t="str">
        <x:v>RF-16</x:v>
      </x:c>
      <x:c r="B20" s="52" t="str">
        <x:v>Clasificar resultado de calidad</x:v>
      </x:c>
      <x:c r="C20" s="52" t="str">
        <x:v>El sistema deberá clasificar un análisis conforme a reglas parametrizadas para que se diferencien leche aceptable, adulteración, acidificación u otra observación sin codificar rangos no validados.</x:v>
      </x:c>
      <x:c r="D20" s="52" t="str">
        <x:v>Funcional</x:v>
      </x:c>
      <x:c r="E20" s="52" t="str">
        <x:v>-</x:v>
      </x:c>
      <x:c r="F20" s="52" t="str">
        <x:v>Control de calidad</x:v>
      </x:c>
      <x:c r="G20" s="52" t="str">
        <x:v>RN-09, RN-10, RN-11</x:v>
      </x:c>
      <x:c r="H20" s="52" t="str">
        <x:v>Confirmado; reglas numéricas pendientes</x:v>
      </x:c>
      <x:c r="I20" s="52" t="str">
        <x:v>Must</x:v>
      </x:c>
      <x:c r="J20" s="52" t="str">
        <x:v>Con una tabla de parámetros aprobada, valores dentro/fuera del rango producen exactamente la clasificación definida; mientras no exista, el requisito queda marcado PENDIENTE DE VALIDACIÓN CON EL CLIENTE.</x:v>
      </x:c>
      <x:c r="K20" s="52" t="str">
        <x:v>Control de calidad</x:v>
      </x:c>
      <x:c r="L20" s="52" t="str">
        <x:v>RF-14, RF-36</x:v>
      </x:c>
      <x:c r="M20" s="52" t="str">
        <x:v>No implementado</x:v>
      </x:c>
    </x:row>
    <x:row r="21" ht="72" customHeight="1">
      <x:c r="A21" s="52" t="str">
        <x:v>RF-17</x:v>
      </x:c>
      <x:c r="B21" s="52" t="str">
        <x:v>Registrar incidencia de calidad</x:v>
      </x:c>
      <x:c r="C21" s="52" t="str">
        <x:v>El sistema deberá registrar una incidencia asociada al proveedor y análisis para que la planta distinga tipo, severidad, primera ocurrencia o reincidencia y estado de seguimiento.</x:v>
      </x:c>
      <x:c r="D21" s="52" t="str">
        <x:v>Funcional</x:v>
      </x:c>
      <x:c r="E21" s="52" t="str">
        <x:v>-</x:v>
      </x:c>
      <x:c r="F21" s="52" t="str">
        <x:v>Control de calidad</x:v>
      </x:c>
      <x:c r="G21" s="52" t="str">
        <x:v>RN-10, RN-11, RN-26</x:v>
      </x:c>
      <x:c r="H21" s="52" t="str">
        <x:v>Confirmado</x:v>
      </x:c>
      <x:c r="I21" s="52" t="str">
        <x:v>Must</x:v>
      </x:c>
      <x:c r="J21" s="52" t="str">
        <x:v>Cada incidencia referencia un análisis y proveedor; una repetición puede identificarse sin borrar los antecedentes.</x:v>
      </x:c>
      <x:c r="K21" s="52" t="str">
        <x:v>Control de calidad</x:v>
      </x:c>
      <x:c r="L21" s="52" t="str">
        <x:v>RF-14, RF-16</x:v>
      </x:c>
      <x:c r="M21" s="52" t="str">
        <x:v>No implementado</x:v>
      </x:c>
    </x:row>
    <x:row r="22" ht="72" customHeight="1">
      <x:c r="A22" s="52" t="str">
        <x:v>RF-18</x:v>
      </x:c>
      <x:c r="B22" s="52" t="str">
        <x:v>Registrar medida aplicada</x:v>
      </x:c>
      <x:c r="C22" s="52" t="str">
        <x:v>El sistema deberá registrar la medida decidida ante una incidencia para que la planta documente advertencia, capacitación, ajuste, rechazo o retiro sin aplicar automáticamente valores no confirmados.</x:v>
      </x:c>
      <x:c r="D22" s="52" t="str">
        <x:v>Funcional</x:v>
      </x:c>
      <x:c r="E22" s="52" t="str">
        <x:v>-</x:v>
      </x:c>
      <x:c r="F22" s="52" t="str">
        <x:v>Responsable de planta / Control de calidad</x:v>
      </x:c>
      <x:c r="G22" s="52" t="str">
        <x:v>RN-11, RN-26</x:v>
      </x:c>
      <x:c r="H22" s="52" t="str">
        <x:v>Confirmado con consecuencias pendientes</x:v>
      </x:c>
      <x:c r="I22" s="52" t="str">
        <x:v>Should</x:v>
      </x:c>
      <x:c r="J22" s="52" t="str">
        <x:v>Solo se elige de un catálogo autorizado; cualquier ajuste económico registra fundamento y vigencia. Las reglas exactas permanecen PENDIENTES DE VALIDACIÓN CON EL CLIENTE.</x:v>
      </x:c>
      <x:c r="K22" s="52" t="str">
        <x:v>Control de calidad</x:v>
      </x:c>
      <x:c r="L22" s="52" t="str">
        <x:v>RF-17, RF-22, RF-36</x:v>
      </x:c>
      <x:c r="M22" s="52" t="str">
        <x:v>No implementado</x:v>
      </x:c>
    </x:row>
    <x:row r="23" ht="72" customHeight="1">
      <x:c r="A23" s="52" t="str">
        <x:v>RF-19</x:v>
      </x:c>
      <x:c r="B23" s="52" t="str">
        <x:v>Registrar seguimiento técnico</x:v>
      </x:c>
      <x:c r="C23" s="52" t="str">
        <x:v>El sistema deberá registrar capacitación, visita al hato o derivación veterinaria para que la planta haga seguimiento a una incidencia hasta su cierre.</x:v>
      </x:c>
      <x:c r="D23" s="52" t="str">
        <x:v>Funcional</x:v>
      </x:c>
      <x:c r="E23" s="52" t="str">
        <x:v>-</x:v>
      </x:c>
      <x:c r="F23" s="52" t="str">
        <x:v>Control de calidad</x:v>
      </x:c>
      <x:c r="G23" s="52" t="str">
        <x:v>RN-19, RN-26</x:v>
      </x:c>
      <x:c r="H23" s="52" t="str">
        <x:v>Confirmado</x:v>
      </x:c>
      <x:c r="I23" s="52" t="str">
        <x:v>Should</x:v>
      </x:c>
      <x:c r="J23" s="52" t="str">
        <x:v>El seguimiento conserva tipo, fecha, responsable, resultado y relación con la incidencia; el acceso de veterinarios queda pendiente.</x:v>
      </x:c>
      <x:c r="K23" s="52" t="str">
        <x:v>Capacitación y seguimiento</x:v>
      </x:c>
      <x:c r="L23" s="52" t="str">
        <x:v>RF-17</x:v>
      </x:c>
      <x:c r="M23" s="52" t="str">
        <x:v>No implementado</x:v>
      </x:c>
    </x:row>
    <x:row r="24" ht="72" customHeight="1">
      <x:c r="A24" s="52" t="str">
        <x:v>RF-20</x:v>
      </x:c>
      <x:c r="B24" s="52" t="str">
        <x:v>Cerrar semana de acopio</x:v>
      </x:c>
      <x:c r="C24" s="52" t="str">
        <x:v>El sistema deberá totalizar por proveedor los acopios comprendidos entre jueves y miércoles para que administración prepare la liquidación semanal.</x:v>
      </x:c>
      <x:c r="D24" s="52" t="str">
        <x:v>Funcional</x:v>
      </x:c>
      <x:c r="E24" s="52" t="str">
        <x:v>-</x:v>
      </x:c>
      <x:c r="F24" s="52" t="str">
        <x:v>Administración</x:v>
      </x:c>
      <x:c r="G24" s="52" t="str">
        <x:v>RN-13</x:v>
      </x:c>
      <x:c r="H24" s="52" t="str">
        <x:v>Confirmado</x:v>
      </x:c>
      <x:c r="I24" s="52" t="str">
        <x:v>Must</x:v>
      </x:c>
      <x:c r="J24" s="52" t="str">
        <x:v>Incluye registros desde el jueves hasta el miércoles de la semana seleccionada, excluye días externos y el total coincide con la suma de acopios vigentes.</x:v>
      </x:c>
      <x:c r="K24" s="52" t="str">
        <x:v>Liquidaciones</x:v>
      </x:c>
      <x:c r="L24" s="52" t="str">
        <x:v>RF-06, RF-07</x:v>
      </x:c>
      <x:c r="M24" s="52" t="str">
        <x:v>No implementado</x:v>
      </x:c>
    </x:row>
    <x:row r="25" ht="72" customHeight="1">
      <x:c r="A25" s="52" t="str">
        <x:v>RF-21</x:v>
      </x:c>
      <x:c r="B25" s="52" t="str">
        <x:v>Administrar precio de leche</x:v>
      </x:c>
      <x:c r="C25" s="52" t="str">
        <x:v>El sistema deberá registrar el precio por litro con fecha de vigencia para que cada liquidación utilice el valor correspondiente sin modificar pagos históricos.</x:v>
      </x:c>
      <x:c r="D25" s="52" t="str">
        <x:v>Funcional</x:v>
      </x:c>
      <x:c r="E25" s="52" t="str">
        <x:v>-</x:v>
      </x:c>
      <x:c r="F25" s="52" t="str">
        <x:v>Administración / Responsable de planta</x:v>
      </x:c>
      <x:c r="G25" s="52" t="str">
        <x:v>RN-16</x:v>
      </x:c>
      <x:c r="H25" s="52" t="str">
        <x:v>Inferido de cambio de precios</x:v>
      </x:c>
      <x:c r="I25" s="52" t="str">
        <x:v>Must</x:v>
      </x:c>
      <x:c r="J25" s="52" t="str">
        <x:v>Para una fecha existe un precio aplicable sin solapamientos incompatibles; cambiar el precio futuro no altera una liquidación cerrada.</x:v>
      </x:c>
      <x:c r="K25" s="52" t="str">
        <x:v>Liquidaciones</x:v>
      </x:c>
      <x:c r="L25" s="52" t="str">
        <x:v>RF-34, RF-36</x:v>
      </x:c>
      <x:c r="M25" s="52" t="str">
        <x:v>No implementado</x:v>
      </x:c>
    </x:row>
    <x:row r="26" ht="72" customHeight="1">
      <x:c r="A26" s="52" t="str">
        <x:v>RF-22</x:v>
      </x:c>
      <x:c r="B26" s="52" t="str">
        <x:v>Calcular liquidación semanal</x:v>
      </x:c>
      <x:c r="C26" s="52" t="str">
        <x:v>El sistema deberá calcular litros, precio, ajustes autorizados y total por proveedor para que administración determine el pago semanal.</x:v>
      </x:c>
      <x:c r="D26" s="52" t="str">
        <x:v>Funcional</x:v>
      </x:c>
      <x:c r="E26" s="52" t="str">
        <x:v>-</x:v>
      </x:c>
      <x:c r="F26" s="52" t="str">
        <x:v>Administración</x:v>
      </x:c>
      <x:c r="G26" s="52" t="str">
        <x:v>RN-13, RN-15, RN-16</x:v>
      </x:c>
      <x:c r="H26" s="52" t="str">
        <x:v>Confirmado con fórmula parcial</x:v>
      </x:c>
      <x:c r="I26" s="52" t="str">
        <x:v>Must</x:v>
      </x:c>
      <x:c r="J26" s="52" t="str">
        <x:v>El total se obtiene de datos vigentes y fórmula visible; si existe una medida económica no validada, el cálculo queda bloqueado o requiere aprobación registrada.</x:v>
      </x:c>
      <x:c r="K26" s="52" t="str">
        <x:v>Liquidaciones</x:v>
      </x:c>
      <x:c r="L26" s="52" t="str">
        <x:v>RF-18, RF-20, RF-21</x:v>
      </x:c>
      <x:c r="M26" s="52" t="str">
        <x:v>No implementado</x:v>
      </x:c>
    </x:row>
    <x:row r="27" ht="72" customHeight="1">
      <x:c r="A27" s="52" t="str">
        <x:v>RF-23</x:v>
      </x:c>
      <x:c r="B27" s="52" t="str">
        <x:v>Generar sobre de pago</x:v>
      </x:c>
      <x:c r="C27" s="52" t="str">
        <x:v>El sistema deberá generar una liquidación imprimible para que cada proveedor reciba el detalle semanal con logo, días, litros, precio por litro, ajustes autorizados y total.</x:v>
      </x:c>
      <x:c r="D27" s="52" t="str">
        <x:v>Funcional</x:v>
      </x:c>
      <x:c r="E27" s="52" t="str">
        <x:v>-</x:v>
      </x:c>
      <x:c r="F27" s="52" t="str">
        <x:v>Administración</x:v>
      </x:c>
      <x:c r="G27" s="52" t="str">
        <x:v>RN-15</x:v>
      </x:c>
      <x:c r="H27" s="52" t="str">
        <x:v>Confirmado</x:v>
      </x:c>
      <x:c r="I27" s="52" t="str">
        <x:v>Must</x:v>
      </x:c>
      <x:c r="J27" s="52" t="str">
        <x:v>El documento generado coincide con RF-22 y contiene todos los campos confirmados; no muestra datos de otro proveedor.</x:v>
      </x:c>
      <x:c r="K27" s="52" t="str">
        <x:v>Liquidaciones</x:v>
      </x:c>
      <x:c r="L27" s="52" t="str">
        <x:v>RF-22</x:v>
      </x:c>
      <x:c r="M27" s="52" t="str">
        <x:v>No implementado</x:v>
      </x:c>
    </x:row>
    <x:row r="28" ht="72" customHeight="1">
      <x:c r="A28" s="52" t="str">
        <x:v>RF-24</x:v>
      </x:c>
      <x:c r="B28" s="52" t="str">
        <x:v>Registrar pago</x:v>
      </x:c>
      <x:c r="C28" s="52" t="str">
        <x:v>El sistema deberá registrar la entrega del pago semanal para que la planta conozca liquidaciones pendientes, pagadas o anuladas y conserve su comprobante.</x:v>
      </x:c>
      <x:c r="D28" s="52" t="str">
        <x:v>Funcional</x:v>
      </x:c>
      <x:c r="E28" s="52" t="str">
        <x:v>-</x:v>
      </x:c>
      <x:c r="F28" s="52" t="str">
        <x:v>Administración</x:v>
      </x:c>
      <x:c r="G28" s="52" t="str">
        <x:v>RN-14</x:v>
      </x:c>
      <x:c r="H28" s="52" t="str">
        <x:v>Inferido necesario</x:v>
      </x:c>
      <x:c r="I28" s="52" t="str">
        <x:v>Should</x:v>
      </x:c>
      <x:c r="J28" s="52" t="str">
        <x:v>Una liquidación puede pasar una sola vez a PAGADA con fecha y responsable; cualquier anulación conserva motivo y auditoría.</x:v>
      </x:c>
      <x:c r="K28" s="52" t="str">
        <x:v>Pagos</x:v>
      </x:c>
      <x:c r="L28" s="52" t="str">
        <x:v>RF-22, RF-35</x:v>
      </x:c>
      <x:c r="M28" s="52" t="str">
        <x:v>No implementado</x:v>
      </x:c>
    </x:row>
    <x:row r="29" ht="72" customHeight="1">
      <x:c r="A29" s="52" t="str">
        <x:v>RF-25</x:v>
      </x:c>
      <x:c r="B29" s="52" t="str">
        <x:v>Informar al proveedor</x:v>
      </x:c>
      <x:c r="C29" s="52" t="str">
        <x:v>El sistema deberá publicar o enviar al proveedor su cantidad diaria, resumen semanal y resultado de calidad para que pueda verificar oportunamente su información.</x:v>
      </x:c>
      <x:c r="D29" s="52" t="str">
        <x:v>Funcional</x:v>
      </x:c>
      <x:c r="E29" s="52" t="str">
        <x:v>-</x:v>
      </x:c>
      <x:c r="F29" s="52" t="str">
        <x:v>Proveedor</x:v>
      </x:c>
      <x:c r="G29" s="52" t="str">
        <x:v>RN-17, RN-18, RN-23</x:v>
      </x:c>
      <x:c r="H29" s="52" t="str">
        <x:v>Confirmado</x:v>
      </x:c>
      <x:c r="I29" s="52" t="str">
        <x:v>Must</x:v>
      </x:c>
      <x:c r="J29" s="52" t="str">
        <x:v>El aviso corresponde al proveedor correcto, identifica a la planta y enlaza el registro origen; canal, plazo y cobertura quedan PENDIENTES DE VALIDACIÓN CON EL CLIENTE.</x:v>
      </x:c>
      <x:c r="K29" s="52" t="str">
        <x:v>Comunicaciones</x:v>
      </x:c>
      <x:c r="L29" s="52" t="str">
        <x:v>RF-06, RF-15, RF-20</x:v>
      </x:c>
      <x:c r="M29" s="52" t="str">
        <x:v>No implementado</x:v>
      </x:c>
    </x:row>
    <x:row r="30" ht="72" customHeight="1">
      <x:c r="A30" s="52" t="str">
        <x:v>RF-26</x:v>
      </x:c>
      <x:c r="B30" s="52" t="str">
        <x:v>Gestionar comunicados y eventos</x:v>
      </x:c>
      <x:c r="C30" s="52" t="str">
        <x:v>El sistema deberá registrar y publicar comunicados, reuniones o capacitaciones para que la planta informe tema, fecha, hora, destinatarios y responsable.</x:v>
      </x:c>
      <x:c r="D30" s="52" t="str">
        <x:v>Funcional</x:v>
      </x:c>
      <x:c r="E30" s="52" t="str">
        <x:v>-</x:v>
      </x:c>
      <x:c r="F30" s="52" t="str">
        <x:v>Responsable de planta / Control de calidad</x:v>
      </x:c>
      <x:c r="G30" s="52" t="str">
        <x:v>RN-19</x:v>
      </x:c>
      <x:c r="H30" s="52" t="str">
        <x:v>Confirmado</x:v>
      </x:c>
      <x:c r="I30" s="52" t="str">
        <x:v>Should</x:v>
      </x:c>
      <x:c r="J30" s="52" t="str">
        <x:v>No se publica un evento con fin anterior o igual al inicio; los destinatarios seleccionados pueden consultar el contenido vigente.</x:v>
      </x:c>
      <x:c r="K30" s="52" t="str">
        <x:v>Comunicaciones y eventos</x:v>
      </x:c>
      <x:c r="L30" s="52" t="str">
        <x:v>RF-34</x:v>
      </x:c>
      <x:c r="M30" s="52" t="str">
        <x:v>No implementado</x:v>
      </x:c>
    </x:row>
    <x:row r="31" ht="72" customHeight="1">
      <x:c r="A31" s="52" t="str">
        <x:v>RF-27</x:v>
      </x:c>
      <x:c r="B31" s="52" t="str">
        <x:v>Registrar asistencia</x:v>
      </x:c>
      <x:c r="C31" s="52" t="str">
        <x:v>El sistema deberá registrar la asistencia de proveedores a un evento para que la planta conozca participantes y ausencias.</x:v>
      </x:c>
      <x:c r="D31" s="52" t="str">
        <x:v>Funcional</x:v>
      </x:c>
      <x:c r="E31" s="52" t="str">
        <x:v>-</x:v>
      </x:c>
      <x:c r="F31" s="52" t="str">
        <x:v>Responsable de evento</x:v>
      </x:c>
      <x:c r="G31" s="52" t="str">
        <x:v>RN-20</x:v>
      </x:c>
      <x:c r="H31" s="52" t="str">
        <x:v>Confirmado</x:v>
      </x:c>
      <x:c r="I31" s="52" t="str">
        <x:v>Should</x:v>
      </x:c>
      <x:c r="J31" s="52" t="str">
        <x:v>Por evento y proveedor existe un único registro de asistencia; una corrección conserva trazabilidad. Método y estados finales pendientes.</x:v>
      </x:c>
      <x:c r="K31" s="52" t="str">
        <x:v>Eventos y asistencia</x:v>
      </x:c>
      <x:c r="L31" s="52" t="str">
        <x:v>RF-26, RF-35</x:v>
      </x:c>
      <x:c r="M31" s="52" t="str">
        <x:v>No implementado</x:v>
      </x:c>
    </x:row>
    <x:row r="32" ht="72" customHeight="1">
      <x:c r="A32" s="52" t="str">
        <x:v>RF-28</x:v>
      </x:c>
      <x:c r="B32" s="52" t="str">
        <x:v>Registrar lote de producción</x:v>
      </x:c>
      <x:c r="C32" s="52" t="str">
        <x:v>El sistema deberá registrar la leche procesada y los productos obtenidos en un lote para que producción documente fecha, producto, cantidad y responsable.</x:v>
      </x:c>
      <x:c r="D32" s="52" t="str">
        <x:v>Funcional</x:v>
      </x:c>
      <x:c r="E32" s="52" t="str">
        <x:v>-</x:v>
      </x:c>
      <x:c r="F32" s="52" t="str">
        <x:v>Producción</x:v>
      </x:c>
      <x:c r="G32" s="52" t="str">
        <x:v>RN-21</x:v>
      </x:c>
      <x:c r="H32" s="52" t="str">
        <x:v>Confirmado</x:v>
      </x:c>
      <x:c r="I32" s="52" t="str">
        <x:v>Should</x:v>
      </x:c>
      <x:c r="J32" s="52" t="str">
        <x:v>Un lote conserva litros de entrada y al menos un resultado de producto con unidad definida; unidades y tipos finales quedan pendientes.</x:v>
      </x:c>
      <x:c r="K32" s="52" t="str">
        <x:v>Producción</x:v>
      </x:c>
      <x:c r="L32" s="52" t="str">
        <x:v>RF-10, RF-34</x:v>
      </x:c>
      <x:c r="M32" s="52" t="str">
        <x:v>No implementado</x:v>
      </x:c>
    </x:row>
    <x:row r="33" ht="72" customHeight="1">
      <x:c r="A33" s="52" t="str">
        <x:v>RF-29</x:v>
      </x:c>
      <x:c r="B33" s="52" t="str">
        <x:v>Calcular rendimiento</x:v>
      </x:c>
      <x:c r="C33" s="52" t="str">
        <x:v>El sistema deberá calcular el rendimiento de un lote para que la planta compare producto obtenido respecto de la leche procesada usando una fórmula parametrizada.</x:v>
      </x:c>
      <x:c r="D33" s="52" t="str">
        <x:v>Funcional</x:v>
      </x:c>
      <x:c r="E33" s="52" t="str">
        <x:v>-</x:v>
      </x:c>
      <x:c r="F33" s="52" t="str">
        <x:v>Producción / Responsable de planta</x:v>
      </x:c>
      <x:c r="G33" s="52" t="str">
        <x:v>RN-21</x:v>
      </x:c>
      <x:c r="H33" s="52" t="str">
        <x:v>Confirmado; fórmula exacta pendiente</x:v>
      </x:c>
      <x:c r="I33" s="52" t="str">
        <x:v>Should</x:v>
      </x:c>
      <x:c r="J33" s="52" t="str">
        <x:v>Con fórmula y unidad aprobadas, el sistema reproduce el cálculo para casos conocidos; no fija 11 o 12 como objetivo mientras no se valide.</x:v>
      </x:c>
      <x:c r="K33" s="52" t="str">
        <x:v>Producción</x:v>
      </x:c>
      <x:c r="L33" s="52" t="str">
        <x:v>RF-28, RF-36</x:v>
      </x:c>
      <x:c r="M33" s="52" t="str">
        <x:v>No implementado</x:v>
      </x:c>
    </x:row>
    <x:row r="34" ht="72" customHeight="1">
      <x:c r="A34" s="52" t="str">
        <x:v>RF-30</x:v>
      </x:c>
      <x:c r="B34" s="52" t="str">
        <x:v>Administrar productos, clientes y precios</x:v>
      </x:c>
      <x:c r="C34" s="52" t="str">
        <x:v>El sistema deberá registrar productos, clientes y precios por tipo y vigencia para que ventas aplique la condición correcta a mayorista, proveedor o público.</x:v>
      </x:c>
      <x:c r="D34" s="52" t="str">
        <x:v>Funcional</x:v>
      </x:c>
      <x:c r="E34" s="52" t="str">
        <x:v>-</x:v>
      </x:c>
      <x:c r="F34" s="52" t="str">
        <x:v>Despacho / Administración</x:v>
      </x:c>
      <x:c r="G34" s="52" t="str">
        <x:v>RN-22</x:v>
      </x:c>
      <x:c r="H34" s="52" t="str">
        <x:v>Confirmado con datos pendientes</x:v>
      </x:c>
      <x:c r="I34" s="52" t="str">
        <x:v>Should</x:v>
      </x:c>
      <x:c r="J34" s="52" t="str">
        <x:v>Cada venta usa un producto, cliente/tipo y precio vigente; los precios contradictorios de las transcripciones no se precargan.</x:v>
      </x:c>
      <x:c r="K34" s="52" t="str">
        <x:v>Ventas</x:v>
      </x:c>
      <x:c r="L34" s="52" t="str">
        <x:v>RF-34, RF-36</x:v>
      </x:c>
      <x:c r="M34" s="52" t="str">
        <x:v>No implementado</x:v>
      </x:c>
    </x:row>
    <x:row r="35" ht="72" customHeight="1">
      <x:c r="A35" s="52" t="str">
        <x:v>RF-31</x:v>
      </x:c>
      <x:c r="B35" s="52" t="str">
        <x:v>Registrar venta de queso</x:v>
      </x:c>
      <x:c r="C35" s="52" t="str">
        <x:v>El sistema deberá registrar la venta o despacho de queso para que la planta conozca cliente, producto, cantidad, precio y total y actualice las existencias controladas.</x:v>
      </x:c>
      <x:c r="D35" s="52" t="str">
        <x:v>Funcional</x:v>
      </x:c>
      <x:c r="E35" s="52" t="str">
        <x:v>-</x:v>
      </x:c>
      <x:c r="F35" s="52" t="str">
        <x:v>Despacho/ventas</x:v>
      </x:c>
      <x:c r="G35" s="52" t="str">
        <x:v>F1 TW-V2; RN-22</x:v>
      </x:c>
      <x:c r="H35" s="52" t="str">
        <x:v>Confirmado con inventario inferido</x:v>
      </x:c>
      <x:c r="I35" s="52" t="str">
        <x:v>Should</x:v>
      </x:c>
      <x:c r="J35" s="52" t="str">
        <x:v>Una venta válida reduce la existencia disponible y queda asociada al cliente; cantidades cero, negativas o superiores al saldo se rechazan.</x:v>
      </x:c>
      <x:c r="K35" s="52" t="str">
        <x:v>Ventas e inventario</x:v>
      </x:c>
      <x:c r="L35" s="52" t="str">
        <x:v>RF-28, RF-30</x:v>
      </x:c>
      <x:c r="M35" s="52" t="str">
        <x:v>No implementado</x:v>
      </x:c>
    </x:row>
    <x:row r="36" ht="72" customHeight="1">
      <x:c r="A36" s="52" t="str">
        <x:v>RF-32</x:v>
      </x:c>
      <x:c r="B36" s="52" t="str">
        <x:v>Generar reportes de acopio y calidad</x:v>
      </x:c>
      <x:c r="C36" s="52" t="str">
        <x:v>El sistema deberá generar reportes por periodo, proveedor, zona, ruta y modalidad para que la planta analice litros, diferencias, resultados e incidencias.</x:v>
      </x:c>
      <x:c r="D36" s="52" t="str">
        <x:v>Funcional</x:v>
      </x:c>
      <x:c r="E36" s="52" t="str">
        <x:v>-</x:v>
      </x:c>
      <x:c r="F36" s="52" t="str">
        <x:v>Responsable de planta</x:v>
      </x:c>
      <x:c r="G36" s="52" t="str">
        <x:v>F1 20:16-37:22; F2 cuellos de botella</x:v>
      </x:c>
      <x:c r="H36" s="52" t="str">
        <x:v>Confirmado</x:v>
      </x:c>
      <x:c r="I36" s="52" t="str">
        <x:v>Must</x:v>
      </x:c>
      <x:c r="J36" s="52" t="str">
        <x:v>Los totales del reporte coinciden con los registros vigentes y los filtros no mezclan proveedores o periodos; formato de exportación pendiente.</x:v>
      </x:c>
      <x:c r="K36" s="52" t="str">
        <x:v>Reportes</x:v>
      </x:c>
      <x:c r="L36" s="52" t="str">
        <x:v>RF-06, RF-07, RF-11, RF-14, RF-17</x:v>
      </x:c>
      <x:c r="M36" s="52" t="str">
        <x:v>No implementado</x:v>
      </x:c>
    </x:row>
    <x:row r="37" ht="72" customHeight="1">
      <x:c r="A37" s="52" t="str">
        <x:v>RF-33</x:v>
      </x:c>
      <x:c r="B37" s="52" t="str">
        <x:v>Generar reportes financieros y productivos</x:v>
      </x:c>
      <x:c r="C37" s="52" t="str">
        <x:v>El sistema deberá generar reportes de liquidaciones, pagos, producción, rendimiento y ventas para que la planta supervise el ciclo completo.</x:v>
      </x:c>
      <x:c r="D37" s="52" t="str">
        <x:v>Funcional</x:v>
      </x:c>
      <x:c r="E37" s="52" t="str">
        <x:v>-</x:v>
      </x:c>
      <x:c r="F37" s="52" t="str">
        <x:v>Responsable de planta / Administración</x:v>
      </x:c>
      <x:c r="G37" s="52" t="str">
        <x:v>F1 TW-V2; F2 producción/ventas</x:v>
      </x:c>
      <x:c r="H37" s="52" t="str">
        <x:v>Confirmado</x:v>
      </x:c>
      <x:c r="I37" s="52" t="str">
        <x:v>Should</x:v>
      </x:c>
      <x:c r="J37" s="52" t="str">
        <x:v>Cada total puede rastrearse a sus registros origen y los filtros aplicados quedan visibles.</x:v>
      </x:c>
      <x:c r="K37" s="52" t="str">
        <x:v>Reportes</x:v>
      </x:c>
      <x:c r="L37" s="52" t="str">
        <x:v>RF-22, RF-24, RF-28, RF-29, RF-31</x:v>
      </x:c>
      <x:c r="M37" s="52" t="str">
        <x:v>No implementado</x:v>
      </x:c>
    </x:row>
    <x:row r="38" ht="72" customHeight="1">
      <x:c r="A38" s="52" t="str">
        <x:v>RF-34</x:v>
      </x:c>
      <x:c r="B38" s="52" t="str">
        <x:v>Autenticar y autorizar usuarios</x:v>
      </x:c>
      <x:c r="C38" s="52" t="str">
        <x:v>El sistema deberá autenticar usuarios y verificar sus permisos para que cada actor solo consulte o modifique las funciones autorizadas.</x:v>
      </x:c>
      <x:c r="D38" s="52" t="str">
        <x:v>Funcional</x:v>
      </x:c>
      <x:c r="E38" s="52" t="str">
        <x:v>-</x:v>
      </x:c>
      <x:c r="F38" s="52" t="str">
        <x:v>Todos los usuarios</x:v>
      </x:c>
      <x:c r="G38" s="52" t="str">
        <x:v>Propuesta técnica necesaria por datos sensibles</x:v>
      </x:c>
      <x:c r="H38" s="52" t="str">
        <x:v>Propuesto; roles pendientes</x:v>
      </x:c>
      <x:c r="I38" s="52" t="str">
        <x:v>Must</x:v>
      </x:c>
      <x:c r="J38" s="52" t="str">
        <x:v>Con una matriz de roles aprobada, toda acción permitida funciona y toda acción prohibida devuelve acceso denegado sin exponer datos.</x:v>
      </x:c>
      <x:c r="K38" s="52" t="str">
        <x:v>Identidad y acceso</x:v>
      </x:c>
      <x:c r="L38" s="52" t="str">
        <x:v>-</x:v>
      </x:c>
      <x:c r="M38" s="52" t="str">
        <x:v>No implementado</x:v>
      </x:c>
    </x:row>
    <x:row r="39" ht="72" customHeight="1">
      <x:c r="A39" s="52" t="str">
        <x:v>RF-35</x:v>
      </x:c>
      <x:c r="B39" s="52" t="str">
        <x:v>Auditar cambios críticos</x:v>
      </x:c>
      <x:c r="C39" s="52" t="str">
        <x:v>El sistema deberá registrar altas, correcciones, anulaciones y decisiones críticas para que la planta conozca usuario, fecha, acción, elemento y motivo.</x:v>
      </x:c>
      <x:c r="D39" s="52" t="str">
        <x:v>Funcional</x:v>
      </x:c>
      <x:c r="E39" s="52" t="str">
        <x:v>-</x:v>
      </x:c>
      <x:c r="F39" s="52" t="str">
        <x:v>Responsable de planta / Auditor</x:v>
      </x:c>
      <x:c r="G39" s="52" t="str">
        <x:v>Necesidad de trazabilidad</x:v>
      </x:c>
      <x:c r="H39" s="52" t="str">
        <x:v>Inferido necesario</x:v>
      </x:c>
      <x:c r="I39" s="52" t="str">
        <x:v>Must</x:v>
      </x:c>
      <x:c r="J39" s="52" t="str">
        <x:v>Modificar o anular acopios, análisis, liquidaciones, pagos o ventas crea una entrada inmutable con valor anterior/nuevo y responsable.</x:v>
      </x:c>
      <x:c r="K39" s="52" t="str">
        <x:v>Auditoría</x:v>
      </x:c>
      <x:c r="L39" s="52" t="str">
        <x:v>RF-34</x:v>
      </x:c>
      <x:c r="M39" s="52" t="str">
        <x:v>No implementado</x:v>
      </x:c>
    </x:row>
    <x:row r="40" ht="72" customHeight="1">
      <x:c r="A40" s="52" t="str">
        <x:v>RF-36</x:v>
      </x:c>
      <x:c r="B40" s="52" t="str">
        <x:v>Configurar parámetros</x:v>
      </x:c>
      <x:c r="C40" s="52" t="str">
        <x:v>El sistema deberá permitir a personal autorizado mantener catálogos, vigencias, unidades, rangos y reglas aprobadas para que los cambios del negocio no obliguen a modificar código.</x:v>
      </x:c>
      <x:c r="D40" s="52" t="str">
        <x:v>Funcional</x:v>
      </x:c>
      <x:c r="E40" s="52" t="str">
        <x:v>-</x:v>
      </x:c>
      <x:c r="F40" s="52" t="str">
        <x:v>Administrador</x:v>
      </x:c>
      <x:c r="G40" s="52" t="str">
        <x:v>RN-09, RN-11, RN-16, RN-21, RN-22</x:v>
      </x:c>
      <x:c r="H40" s="52" t="str">
        <x:v>Propuesto</x:v>
      </x:c>
      <x:c r="I40" s="52" t="str">
        <x:v>Should</x:v>
      </x:c>
      <x:c r="J40" s="52" t="str">
        <x:v>Un parámetro solo entra en vigencia con tipo, valor, fecha y responsable; no modifica datos históricos cerrados.</x:v>
      </x:c>
      <x:c r="K40" s="52" t="str">
        <x:v>Configuración</x:v>
      </x:c>
      <x:c r="L40" s="52" t="str">
        <x:v>RF-34, RF-35</x:v>
      </x:c>
      <x:c r="M40" s="52" t="str">
        <x:v>No implementado</x:v>
      </x:c>
    </x:row>
    <x:row r="41" ht="72" customHeight="1">
      <x:c r="A41" s="52" t="str">
        <x:v>RNF-01</x:v>
      </x:c>
      <x:c r="B41" s="52" t="str">
        <x:v>Operación offline</x:v>
      </x:c>
      <x:c r="C41" s="52" t="str">
        <x:v>La aplicación móvil deberá permitir consultar la planilla y registrar acopios sin conexión para que el trabajo de campo continúe durante cortes de señal.</x:v>
      </x:c>
      <x:c r="D41" s="52" t="str">
        <x:v>No funcional</x:v>
      </x:c>
      <x:c r="E41" s="52" t="str">
        <x:v>Disponibilidad y resiliencia</x:v>
      </x:c>
      <x:c r="F41" s="52" t="str">
        <x:v>Acopiador</x:v>
      </x:c>
      <x:c r="G41" s="52" t="str">
        <x:v>F1 22:35-23:07; F2 señal</x:v>
      </x:c>
      <x:c r="H41" s="52" t="str">
        <x:v>Confirmado</x:v>
      </x:c>
      <x:c r="I41" s="52" t="str">
        <x:v>Must</x:v>
      </x:c>
      <x:c r="J41" s="52" t="str">
        <x:v>Las tareas offline aprobadas funcionan sin red, persisten tras reinicio y quedan pendientes de sincronización; duración y volumen máximos se validarán con la planta.</x:v>
      </x:c>
      <x:c r="K41" s="52" t="str">
        <x:v>Aplicación móvil / Sincronización</x:v>
      </x:c>
      <x:c r="L41" s="52" t="str">
        <x:v>RF-08</x:v>
      </x:c>
      <x:c r="M41" s="52" t="str">
        <x:v>No implementado</x:v>
      </x:c>
    </x:row>
    <x:row r="42" ht="72" customHeight="1">
      <x:c r="A42" s="52" t="str">
        <x:v>RNF-02</x:v>
      </x:c>
      <x:c r="B42" s="52" t="str">
        <x:v>Integridad de sincronización</x:v>
      </x:c>
      <x:c r="C42" s="52" t="str">
        <x:v>La sincronización deberá ser idempotente y detectar conflictos para que reintentos o ediciones concurrentes no dupliquen ni sobrescriban datos silenciosamente.</x:v>
      </x:c>
      <x:c r="D42" s="52" t="str">
        <x:v>No funcional</x:v>
      </x:c>
      <x:c r="E42" s="52" t="str">
        <x:v>Integridad y confiabilidad</x:v>
      </x:c>
      <x:c r="F42" s="52" t="str">
        <x:v>Todos</x:v>
      </x:c>
      <x:c r="G42" s="52" t="str">
        <x:v>Necesidad derivada de offline</x:v>
      </x:c>
      <x:c r="H42" s="52" t="str">
        <x:v>Propuesto arquitectónicamente</x:v>
      </x:c>
      <x:c r="I42" s="52" t="str">
        <x:v>Must</x:v>
      </x:c>
      <x:c r="J42" s="52" t="str">
        <x:v>El mismo ID enviado varias veces crea un solo registro; versiones incompatibles quedan en CONFLICTO con ambas versiones disponibles para revisión.</x:v>
      </x:c>
      <x:c r="K42" s="52" t="str">
        <x:v>Sincronización</x:v>
      </x:c>
      <x:c r="L42" s="52" t="str">
        <x:v>RF-09</x:v>
      </x:c>
      <x:c r="M42" s="52" t="str">
        <x:v>No implementado</x:v>
      </x:c>
    </x:row>
    <x:row r="43" ht="72" customHeight="1">
      <x:c r="A43" s="52" t="str">
        <x:v>RNF-03</x:v>
      </x:c>
      <x:c r="B43" s="52" t="str">
        <x:v>Seguridad de acceso</x:v>
      </x:c>
      <x:c r="C43" s="52" t="str">
        <x:v>El sistema deberá aplicar autenticación y autorización en todas las interfaces para que solo usuarios habilitados accedan a datos y acciones.</x:v>
      </x:c>
      <x:c r="D43" s="52" t="str">
        <x:v>No funcional</x:v>
      </x:c>
      <x:c r="E43" s="52" t="str">
        <x:v>Seguridad</x:v>
      </x:c>
      <x:c r="F43" s="52" t="str">
        <x:v>Todos</x:v>
      </x:c>
      <x:c r="G43" s="52" t="str">
        <x:v>Datos personales, financieros y operativos</x:v>
      </x:c>
      <x:c r="H43" s="52" t="str">
        <x:v>Propuesto necesario</x:v>
      </x:c>
      <x:c r="I43" s="52" t="str">
        <x:v>Must</x:v>
      </x:c>
      <x:c r="J43" s="52" t="str">
        <x:v>Las pruebas de la matriz de permisos confirman accesos permitidos y denegados tanto en interfaz como en API.</x:v>
      </x:c>
      <x:c r="K43" s="52" t="str">
        <x:v>Identidad y acceso</x:v>
      </x:c>
      <x:c r="L43" s="52" t="str">
        <x:v>RF-34</x:v>
      </x:c>
      <x:c r="M43" s="52" t="str">
        <x:v>No implementado</x:v>
      </x:c>
    </x:row>
    <x:row r="44" ht="72" customHeight="1">
      <x:c r="A44" s="52" t="str">
        <x:v>RNF-04</x:v>
      </x:c>
      <x:c r="B44" s="52" t="str">
        <x:v>Privacidad de datos</x:v>
      </x:c>
      <x:c r="C44" s="52" t="str">
        <x:v>El sistema deberá limitar la exposición de DNI, celular, calidad y pagos para que esos datos solo sean visibles por el proveedor correspondiente y roles autorizados.</x:v>
      </x:c>
      <x:c r="D44" s="52" t="str">
        <x:v>No funcional</x:v>
      </x:c>
      <x:c r="E44" s="52" t="str">
        <x:v>Privacidad</x:v>
      </x:c>
      <x:c r="F44" s="52" t="str">
        <x:v>Proveedor / Planta</x:v>
      </x:c>
      <x:c r="G44" s="52" t="str">
        <x:v>F1/F2 datos de proveedor y pagos</x:v>
      </x:c>
      <x:c r="H44" s="52" t="str">
        <x:v>Propuesto necesario</x:v>
      </x:c>
      <x:c r="I44" s="52" t="str">
        <x:v>Must</x:v>
      </x:c>
      <x:c r="J44" s="52" t="str">
        <x:v>Un proveedor nunca consulta datos de otro; roles sin permiso no reciben esos campos en pantalla, exportación ni respuesta de servicio.</x:v>
      </x:c>
      <x:c r="K44" s="52" t="str">
        <x:v>Transversal</x:v>
      </x:c>
      <x:c r="L44" s="52" t="str">
        <x:v>RF-03, RF-23, RF-25, RF-34</x:v>
      </x:c>
      <x:c r="M44" s="52" t="str">
        <x:v>No implementado</x:v>
      </x:c>
    </x:row>
    <x:row r="45" ht="72" customHeight="1">
      <x:c r="A45" s="52" t="str">
        <x:v>RNF-05</x:v>
      </x:c>
      <x:c r="B45" s="52" t="str">
        <x:v>Auditabilidad</x:v>
      </x:c>
      <x:c r="C45" s="52" t="str">
        <x:v>El sistema deberá conservar una bitácora inmutable de operaciones críticas para que se reconstruya quién cambió qué, cuándo y por qué.</x:v>
      </x:c>
      <x:c r="D45" s="52" t="str">
        <x:v>No funcional</x:v>
      </x:c>
      <x:c r="E45" s="52" t="str">
        <x:v>Auditabilidad</x:v>
      </x:c>
      <x:c r="F45" s="52" t="str">
        <x:v>Responsable de planta</x:v>
      </x:c>
      <x:c r="G45" s="52" t="str">
        <x:v>Necesidad derivada de reclamos y correcciones</x:v>
      </x:c>
      <x:c r="H45" s="52" t="str">
        <x:v>Propuesto</x:v>
      </x:c>
      <x:c r="I45" s="52" t="str">
        <x:v>Should</x:v>
      </x:c>
      <x:c r="J45" s="52" t="str">
        <x:v>La revisión de una muestra de cambios encuentra usuario, fecha, acción, entidad, ID, valores y motivo sin huecos.</x:v>
      </x:c>
      <x:c r="K45" s="52" t="str">
        <x:v>Auditoría</x:v>
      </x:c>
      <x:c r="L45" s="52" t="str">
        <x:v>RF-35</x:v>
      </x:c>
      <x:c r="M45" s="52" t="str">
        <x:v>No implementado</x:v>
      </x:c>
    </x:row>
    <x:row r="46" ht="72" customHeight="1">
      <x:c r="A46" s="52" t="str">
        <x:v>RNF-06</x:v>
      </x:c>
      <x:c r="B46" s="52" t="str">
        <x:v>Usabilidad en campo</x:v>
      </x:c>
      <x:c r="C46" s="52" t="str">
        <x:v>La aplicación móvil deberá permitir registrar un acopio con pocos pasos y mensajes comprensibles para que el acopiador trabaje con frío, prisa y señal variable.</x:v>
      </x:c>
      <x:c r="D46" s="52" t="str">
        <x:v>No funcional</x:v>
      </x:c>
      <x:c r="E46" s="52" t="str">
        <x:v>Usabilidad</x:v>
      </x:c>
      <x:c r="F46" s="52" t="str">
        <x:v>Acopiador</x:v>
      </x:c>
      <x:c r="G46" s="52" t="str">
        <x:v>F2 cuellos de botella en ruta</x:v>
      </x:c>
      <x:c r="H46" s="52" t="str">
        <x:v>Confirmado cualitativamente</x:v>
      </x:c>
      <x:c r="I46" s="52" t="str">
        <x:v>Should</x:v>
      </x:c>
      <x:c r="J46" s="52" t="str">
        <x:v>Una prueba con usuarios representativos completa las tareas definidas; número de pasos, tiempo y tasa de éxito quedan pendientes de validación.</x:v>
      </x:c>
      <x:c r="K46" s="52" t="str">
        <x:v>Aplicación móvil</x:v>
      </x:c>
      <x:c r="L46" s="52" t="str">
        <x:v>RF-06, RF-08</x:v>
      </x:c>
      <x:c r="M46" s="52" t="str">
        <x:v>No implementado</x:v>
      </x:c>
    </x:row>
    <x:row r="47" ht="72" customHeight="1">
      <x:c r="A47" s="52" t="str">
        <x:v>RNF-07</x:v>
      </x:c>
      <x:c r="B47" s="52" t="str">
        <x:v>Rendimiento</x:v>
      </x:c>
      <x:c r="C47" s="52" t="str">
        <x:v>El sistema deberá guardar localmente y consultar los registros del día sin demoras que interrumpan el acopio, y sincronizar en segundo plano cuando haya red.</x:v>
      </x:c>
      <x:c r="D47" s="52" t="str">
        <x:v>No funcional</x:v>
      </x:c>
      <x:c r="E47" s="52" t="str">
        <x:v>Rendimiento</x:v>
      </x:c>
      <x:c r="F47" s="52" t="str">
        <x:v>Acopiador / Planta</x:v>
      </x:c>
      <x:c r="G47" s="52" t="str">
        <x:v>Necesidad de operación en tiempo real</x:v>
      </x:c>
      <x:c r="H47" s="52" t="str">
        <x:v>Pendiente de métrica</x:v>
      </x:c>
      <x:c r="I47" s="52" t="str">
        <x:v>Should</x:v>
      </x:c>
      <x:c r="J47" s="52" t="str">
        <x:v>Cumple los tiempos y volúmenes que el equipo y la planta aprueben en una prueba de carga; métricas exactas PENDIENTES DE VALIDACIÓN CON EL CLIENTE.</x:v>
      </x:c>
      <x:c r="K47" s="52" t="str">
        <x:v>Transversal</x:v>
      </x:c>
      <x:c r="L47" s="52" t="str">
        <x:v>RF-06, RF-09, RF-32</x:v>
      </x:c>
      <x:c r="M47" s="52" t="str">
        <x:v>No implementado</x:v>
      </x:c>
    </x:row>
    <x:row r="48" ht="72" customHeight="1">
      <x:c r="A48" s="52" t="str">
        <x:v>RNF-08</x:v>
      </x:c>
      <x:c r="B48" s="52" t="str">
        <x:v>Disponibilidad central</x:v>
      </x:c>
      <x:c r="C48" s="52" t="str">
        <x:v>La plataforma central deberá estar disponible durante los horarios operativos acordados para que planta y proveedores consulten información actualizada.</x:v>
      </x:c>
      <x:c r="D48" s="52" t="str">
        <x:v>No funcional</x:v>
      </x:c>
      <x:c r="E48" s="52" t="str">
        <x:v>Disponibilidad</x:v>
      </x:c>
      <x:c r="F48" s="52" t="str">
        <x:v>Todos</x:v>
      </x:c>
      <x:c r="G48" s="52" t="str">
        <x:v>Necesidad de consulta en tiempo real</x:v>
      </x:c>
      <x:c r="H48" s="52" t="str">
        <x:v>Pendiente de métrica</x:v>
      </x:c>
      <x:c r="I48" s="52" t="str">
        <x:v>Should</x:v>
      </x:c>
      <x:c r="J48" s="52" t="str">
        <x:v>El monitoreo cumple el porcentaje y ventana horaria aprobados; ambos valores están PENDIENTES DE VALIDACIÓN CON EL CLIENTE.</x:v>
      </x:c>
      <x:c r="K48" s="52" t="str">
        <x:v>Infraestructura</x:v>
      </x:c>
      <x:c r="L48" s="52" t="str">
        <x:v>RF-03, RF-25, RF-32</x:v>
      </x:c>
      <x:c r="M48" s="52" t="str">
        <x:v>No implementado</x:v>
      </x:c>
    </x:row>
    <x:row r="49" ht="72" customHeight="1">
      <x:c r="A49" s="52" t="str">
        <x:v>RNF-09</x:v>
      </x:c>
      <x:c r="B49" s="52" t="str">
        <x:v>Mantenibilidad con Clean Architecture</x:v>
      </x:c>
      <x:c r="C49" s="52" t="str">
        <x:v>Todo el sistema Kotlin deberá respetar Clean Architecture para que dominio y casos de uso no dependan de interfaz, base de datos, red, impresora ni frameworks.</x:v>
      </x:c>
      <x:c r="D49" s="52" t="str">
        <x:v>No funcional</x:v>
      </x:c>
      <x:c r="E49" s="52" t="str">
        <x:v>Mantenibilidad</x:v>
      </x:c>
      <x:c r="F49" s="52" t="str">
        <x:v>Equipo de desarrollo</x:v>
      </x:c>
      <x:c r="G49" s="52" t="str">
        <x:v>Restricción académica</x:v>
      </x:c>
      <x:c r="H49" s="52" t="str">
        <x:v>Confirmado por el equipo/docente</x:v>
      </x:c>
      <x:c r="I49" s="52" t="str">
        <x:v>Must</x:v>
      </x:c>
      <x:c r="J49" s="52" t="str">
        <x:v>La revisión de dependencias confirma que dominio no importa infraestructura; cada caso de uso depende de puertos y los adaptadores implementan esos puertos.</x:v>
      </x:c>
      <x:c r="K49" s="52" t="str">
        <x:v>Transversal</x:v>
      </x:c>
      <x:c r="L49" s="52" t="str">
        <x:v>Todos los RF</x:v>
      </x:c>
      <x:c r="M49" s="52" t="str">
        <x:v>No implementado</x:v>
      </x:c>
    </x:row>
    <x:row r="50" ht="72" customHeight="1">
      <x:c r="A50" s="52" t="str">
        <x:v>RNF-10</x:v>
      </x:c>
      <x:c r="B50" s="52" t="str">
        <x:v>Portabilidad de interfaces</x:v>
      </x:c>
      <x:c r="C50" s="52" t="str">
        <x:v>La solución deberá separar lógica de negocio de las interfaces web y móvil para que ambas se desarrollen con Kotlin sin duplicar reglas.</x:v>
      </x:c>
      <x:c r="D50" s="52" t="str">
        <x:v>No funcional</x:v>
      </x:c>
      <x:c r="E50" s="52" t="str">
        <x:v>Portabilidad</x:v>
      </x:c>
      <x:c r="F50" s="52" t="str">
        <x:v>Equipo de desarrollo</x:v>
      </x:c>
      <x:c r="G50" s="52" t="str">
        <x:v>Kotlin + Clean Architecture</x:v>
      </x:c>
      <x:c r="H50" s="52" t="str">
        <x:v>Propuesto</x:v>
      </x:c>
      <x:c r="I50" s="52" t="str">
        <x:v>Should</x:v>
      </x:c>
      <x:c r="J50" s="52" t="str">
        <x:v>Los mismos casos de uso se verifican desde adaptadores web/móvil; plataformas y versiones soportadas quedan pendientes.</x:v>
      </x:c>
      <x:c r="K50" s="52" t="str">
        <x:v>Transversal</x:v>
      </x:c>
      <x:c r="L50" s="52" t="str">
        <x:v>RF-03, RF-06, RF-25</x:v>
      </x:c>
      <x:c r="M50" s="52" t="str">
        <x:v>No implementado</x:v>
      </x:c>
    </x:row>
    <x:row r="51" ht="72" customHeight="1">
      <x:c r="A51" s="52" t="str">
        <x:v>RNF-11</x:v>
      </x:c>
      <x:c r="B51" s="52" t="str">
        <x:v>Respaldo y recuperación</x:v>
      </x:c>
      <x:c r="C51" s="52" t="str">
        <x:v>La plataforma central deberá respaldar los datos y permitir una restauración verificada para que una falla no elimine el historial operativo.</x:v>
      </x:c>
      <x:c r="D51" s="52" t="str">
        <x:v>No funcional</x:v>
      </x:c>
      <x:c r="E51" s="52" t="str">
        <x:v>Recuperabilidad</x:v>
      </x:c>
      <x:c r="F51" s="52" t="str">
        <x:v>Responsable de planta</x:v>
      </x:c>
      <x:c r="G51" s="52" t="str">
        <x:v>Riesgo técnico</x:v>
      </x:c>
      <x:c r="H51" s="52" t="str">
        <x:v>Propuesto</x:v>
      </x:c>
      <x:c r="I51" s="52" t="str">
        <x:v>Should</x:v>
      </x:c>
      <x:c r="J51" s="52" t="str">
        <x:v>Una prueba restaura una copia en un entorno aislado y reconcilia los conteos; frecuencia y tiempos RPO/RTO quedan pendientes.</x:v>
      </x:c>
      <x:c r="K51" s="52" t="str">
        <x:v>Infraestructura</x:v>
      </x:c>
      <x:c r="L51" s="52" t="str">
        <x:v>Todos los módulos persistentes</x:v>
      </x:c>
      <x:c r="M51" s="52" t="str">
        <x:v>No implementado</x:v>
      </x:c>
    </x:row>
    <x:row r="52" ht="72" customHeight="1">
      <x:c r="A52" s="52" t="str">
        <x:v>RNF-12</x:v>
      </x:c>
      <x:c r="B52" s="52" t="str">
        <x:v>Interoperabilidad con equipos</x:v>
      </x:c>
      <x:c r="C52" s="52" t="str">
        <x:v>Las integraciones con impresoras, Lactoscan y futuro caudalímetro deberán implementarse mediante adaptadores reemplazables para que el dominio no dependa de una marca o modelo.</x:v>
      </x:c>
      <x:c r="D52" s="52" t="str">
        <x:v>No funcional</x:v>
      </x:c>
      <x:c r="E52" s="52" t="str">
        <x:v>Interoperabilidad</x:v>
      </x:c>
      <x:c r="F52" s="52" t="str">
        <x:v>Equipo de desarrollo</x:v>
      </x:c>
      <x:c r="G52" s="52" t="str">
        <x:v>F1/F2 equipos; RN-24</x:v>
      </x:c>
      <x:c r="H52" s="52" t="str">
        <x:v>Propuesto</x:v>
      </x:c>
      <x:c r="I52" s="52" t="str">
        <x:v>Could</x:v>
      </x:c>
      <x:c r="J52" s="52" t="str">
        <x:v>Cada dispositivo se sustituye por un simulador en pruebas sin modificar entidades ni casos de uso; protocolos/modelos pendientes.</x:v>
      </x:c>
      <x:c r="K52" s="52" t="str">
        <x:v>Adaptadores de dispositivos</x:v>
      </x:c>
      <x:c r="L52" s="52" t="str">
        <x:v>RF-13, RF-15, RF-23</x:v>
      </x:c>
      <x:c r="M52" s="52" t="str">
        <x:v>No implementado</x:v>
      </x:c>
    </x:row>
  </x:sheetData>
  <x:mergeCells>
    <x:mergeCell ref="A1:M1"/>
    <x:mergeCell ref="A2:M2"/>
  </x:mergeCells>
  <x:conditionalFormatting sqref="I5:I52">
    <x:cfRule type="containsText" dxfId="1" priority="1" operator="containsText" text="Must"/>
    <x:cfRule type="containsText" dxfId="2" priority="2" operator="containsText" text="Should"/>
    <x:cfRule type="containsText" dxfId="3" priority="3" operator="containsText" text="Could"/>
    <x:cfRule type="containsText" dxfId="4" priority="4" operator="containsText" text="Won't"/>
  </x:conditionalFormatting>
  <x:dataValidations count="1">
    <x:dataValidation type="list" sqref="I5:I52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e1e47575c84d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38" hidden="0" customWidth="1"/>
    <x:col min="4" max="4" width="42" hidden="0" customWidth="1"/>
    <x:col min="5" max="5" width="27" hidden="0" customWidth="1"/>
    <x:col min="6" max="6" width="48" hidden="0" customWidth="1"/>
    <x:col min="7" max="7" width="36" hidden="0" customWidth="1"/>
    <x:col min="8" max="8" width="46" hidden="0" customWidth="1"/>
    <x:col min="9" max="9" width="58" hidden="0" customWidth="1"/>
    <x:col min="10" max="10" width="12" hidden="0" customWidth="1"/>
    <x:col min="11" max="11" width="24" hidden="0" customWidth="1"/>
    <x:col min="12" max="12" width="38" hidden="0" customWidth="1"/>
  </x:cols>
  <x:sheetData>
    <x:row r="1" ht="30" customHeight="1">
      <x:c r="A1" s="35" t="str">
        <x:v>CASOS DE PRUEBA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</x:row>
    <x:row r="2" ht="34" customHeight="1">
      <x:c r="A2" s="38" t="str">
        <x:v>34 casos diseñados; ninguno ejecutado. Partición y valores límite se aplican sin inventar rangos definitivos.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34" customHeight="1">
      <x:c r="A4" s="50" t="str">
        <x:v>ID</x:v>
      </x:c>
      <x:c r="B4" s="50" t="str">
        <x:v>Requisito/regla</x:v>
      </x:c>
      <x:c r="C4" s="50" t="str">
        <x:v>Objetivo</x:v>
      </x:c>
      <x:c r="D4" s="50" t="str">
        <x:v>Precondiciones</x:v>
      </x:c>
      <x:c r="E4" s="50" t="str">
        <x:v>Técnica</x:v>
      </x:c>
      <x:c r="F4" s="50" t="str">
        <x:v>Partición / valores límite</x:v>
      </x:c>
      <x:c r="G4" s="50" t="str">
        <x:v>Datos de entrada</x:v>
      </x:c>
      <x:c r="H4" s="50" t="str">
        <x:v>Procedimiento</x:v>
      </x:c>
      <x:c r="I4" s="50" t="str">
        <x:v>Resultado esperado</x:v>
      </x:c>
      <x:c r="J4" s="50" t="str">
        <x:v>Prioridad</x:v>
      </x:c>
      <x:c r="K4" s="50" t="str">
        <x:v>Estado</x:v>
      </x:c>
      <x:c r="L4" s="50" t="str">
        <x:v>Observaciones</x:v>
      </x:c>
    </x:row>
    <x:row r="5" ht="82" customHeight="1">
      <x:c r="A5" s="51" t="str">
        <x:v>CP-01</x:v>
      </x:c>
      <x:c r="B5" s="51" t="str">
        <x:v>RF-01</x:v>
      </x:c>
      <x:c r="C5" s="51" t="str">
        <x:v>Validar alta y duplicidad del proveedor.</x:v>
      </x:c>
      <x:c r="D5" s="51" t="str">
        <x:v>Usuario autorizado; padrón sin el DNI de prueba.</x:v>
      </x:c>
      <x:c r="E5" s="51" t="str">
        <x:v>Partición de equivalencia</x:v>
      </x:c>
      <x:c r="F5" s="51" t="str">
        <x:v>Válida: campos confirmados presentes y DNI nuevo. Inválidas: campo obligatorio vacío; DNI duplicado.</x:v>
      </x:c>
      <x:c r="G5" s="51" t="str">
        <x:v>Proveedor A con nombre/DNI/celular; repetir DNI; omitir nombre.</x:v>
      </x:c>
      <x:c r="H5" s="51" t="str">
        <x:v>1) Registrar caso válido. 2) Repetir DNI. 3) Repetir sin nombre.</x:v>
      </x:c>
      <x:c r="I5" s="51" t="str">
        <x:v>Solo el primer caso crea proveedor; los inválidos explican el error y no agregan filas.</x:v>
      </x:c>
      <x:c r="J5" s="51" t="str">
        <x:v>Alta</x:v>
      </x:c>
      <x:c r="K5" s="51" t="str">
        <x:v>Diseñado / No ejecutado</x:v>
      </x:c>
      <x:c r="L5" s="51" t="str">
        <x:v>Formato y validaciones exactas del DNI pendientes.</x:v>
      </x:c>
    </x:row>
    <x:row r="6" ht="82" customHeight="1">
      <x:c r="A6" s="52" t="str">
        <x:v>CP-02</x:v>
      </x:c>
      <x:c r="B6" s="52" t="str">
        <x:v>RF-02, RN-03, RN-04</x:v>
      </x:c>
      <x:c r="C6" s="52" t="str">
        <x:v>Comprobar cambio de zona con historial.</x:v>
      </x:c>
      <x:c r="D6" s="52" t="str">
        <x:v>Proveedor vigente en Zona A; Zona B activa.</x:v>
      </x:c>
      <x:c r="E6" s="52" t="str">
        <x:v>Valores límite temporales</x:v>
      </x:c>
      <x:c r="F6" s="52" t="str">
        <x:v>Válida: nueva vigencia posterior a la anterior. Bordes: mismo día; fecha anterior; anticipación mínima por confirmar.</x:v>
      </x:c>
      <x:c r="G6" s="52" t="str">
        <x:v>Cambio A-&gt;B con fechas consecutivas; fecha solapada.</x:v>
      </x:c>
      <x:c r="H6" s="52" t="str">
        <x:v>1) Crear nueva asignación. 2) Consultar planilla e historial. 3) Intentar solapamiento.</x:v>
      </x:c>
      <x:c r="I6" s="52" t="str">
        <x:v>La vigencia válida mueve al proveedor sin borrar A; el solapamiento se rechaza. La regla de 2/3 días no se cierra hasta validación.</x:v>
      </x:c>
      <x:c r="J6" s="52" t="str">
        <x:v>Alta</x:v>
      </x:c>
      <x:c r="K6" s="52" t="str">
        <x:v>Diseñado / No ejecutado</x:v>
      </x:c>
      <x:c r="L6" s="52" t="str">
        <x:v>PENDIENTE DE VALIDACIÓN CON EL CLIENTE para anticipación.</x:v>
      </x:c>
    </x:row>
    <x:row r="7" ht="82" customHeight="1">
      <x:c r="A7" s="52" t="str">
        <x:v>CP-03</x:v>
      </x:c>
      <x:c r="B7" s="52" t="str">
        <x:v>RF-04</x:v>
      </x:c>
      <x:c r="C7" s="52" t="str">
        <x:v>Validar rutas activas e inactivas.</x:v>
      </x:c>
      <x:c r="D7" s="52" t="str">
        <x:v>Zona existente y usuario autorizado.</x:v>
      </x:c>
      <x:c r="E7" s="52" t="str">
        <x:v>Partición de equivalencia</x:v>
      </x:c>
      <x:c r="F7" s="52" t="str">
        <x:v>Válida: ruta activa con zona. Inválidas: zona inexistente; asignar a ruta inactiva.</x:v>
      </x:c>
      <x:c r="G7" s="52" t="str">
        <x:v>Ruta R1/Zona A; Ruta R2/Zona inexistente; R1 inactiva.</x:v>
      </x:c>
      <x:c r="H7" s="52" t="str">
        <x:v>Registrar rutas, inactivar R1 e intentar nueva asignación.</x:v>
      </x:c>
      <x:c r="I7" s="52" t="str">
        <x:v>Solo las relaciones válidas se guardan; el historial de R1 permanece.</x:v>
      </x:c>
      <x:c r="J7" s="52" t="str">
        <x:v>Alta</x:v>
      </x:c>
      <x:c r="K7" s="52" t="str">
        <x:v>Diseñado / No ejecutado</x:v>
      </x:c>
      <x:c r="L7" s="52" t="str">
        <x:v>Nombres reales pendientes.</x:v>
      </x:c>
    </x:row>
    <x:row r="8" ht="82" customHeight="1">
      <x:c r="A8" s="52" t="str">
        <x:v>CP-04</x:v>
      </x:c>
      <x:c r="B8" s="52" t="str">
        <x:v>RF-06</x:v>
      </x:c>
      <x:c r="C8" s="52" t="str">
        <x:v>Validar cantidad de leche en campo.</x:v>
      </x:c>
      <x:c r="D8" s="52" t="str">
        <x:v>Proveedor incluido en la planilla de la ruta.</x:v>
      </x:c>
      <x:c r="E8" s="52" t="str">
        <x:v>Partición de equivalencia y valores límite</x:v>
      </x:c>
      <x:c r="F8" s="52" t="str">
        <x:v>Válida: cantidad numérica &gt;0. Inválidas/bordes: 0; negativa; texto; decimal permitido con precisión pendiente.</x:v>
      </x:c>
      <x:c r="G8" s="52" t="str">
        <x:v>34; 32; 0; -1; 'treinta'.</x:v>
      </x:c>
      <x:c r="H8" s="52" t="str">
        <x:v>Registrar cada entrada en una jornada de prueba.</x:v>
      </x:c>
      <x:c r="I8" s="52" t="str">
        <x:v>Positivos válidos se registran; cero, negativos y texto se rechazan; la precisión decimal se ajusta a la regla aprobada.</x:v>
      </x:c>
      <x:c r="J8" s="52" t="str">
        <x:v>Crítica</x:v>
      </x:c>
      <x:c r="K8" s="52" t="str">
        <x:v>Diseñado / No ejecutado</x:v>
      </x:c>
      <x:c r="L8" s="52" t="str">
        <x:v>No se fija cantidad máxima ni decimales.</x:v>
      </x:c>
    </x:row>
    <x:row r="9" ht="82" customHeight="1">
      <x:c r="A9" s="52" t="str">
        <x:v>CP-05</x:v>
      </x:c>
      <x:c r="B9" s="52" t="str">
        <x:v>RF-06, RNF-02</x:v>
      </x:c>
      <x:c r="C9" s="52" t="str">
        <x:v>Evitar duplicar un acopio.</x:v>
      </x:c>
      <x:c r="D9" s="52" t="str">
        <x:v>Existe un acopio con ID local X.</x:v>
      </x:c>
      <x:c r="E9" s="52" t="str">
        <x:v>Partición de equivalencia / idempotencia</x:v>
      </x:c>
      <x:c r="F9" s="52" t="str">
        <x:v>Misma identidad; identidad diferente con datos iguales.</x:v>
      </x:c>
      <x:c r="G9" s="52" t="str">
        <x:v>Dos envíos con ID X; un envío con ID Y.</x:v>
      </x:c>
      <x:c r="H9" s="52" t="str">
        <x:v>Enviar X dos veces y luego Y.</x:v>
      </x:c>
      <x:c r="I9" s="52" t="str">
        <x:v>X produce un solo registro; Y se trata como operación distinta y queda auditable.</x:v>
      </x:c>
      <x:c r="J9" s="52" t="str">
        <x:v>Crítica</x:v>
      </x:c>
      <x:c r="K9" s="52" t="str">
        <x:v>Diseñado / No ejecutado</x:v>
      </x:c>
      <x:c r="L9" s="52" t="str">
        <x:v>El criterio distingue duplicado técnico de registro real repetido.</x:v>
      </x:c>
    </x:row>
    <x:row r="10" ht="82" customHeight="1">
      <x:c r="A10" s="52" t="str">
        <x:v>CP-06</x:v>
      </x:c>
      <x:c r="B10" s="52" t="str">
        <x:v>RF-07, RN-01</x:v>
      </x:c>
      <x:c r="C10" s="52" t="str">
        <x:v>Comprobar entrega directa.</x:v>
      </x:c>
      <x:c r="D10" s="52" t="str">
        <x:v>Proveedor activo y recepción habilitada.</x:v>
      </x:c>
      <x:c r="E10" s="52" t="str">
        <x:v>Partición de equivalencia</x:v>
      </x:c>
      <x:c r="F10" s="52" t="str">
        <x:v>Válida: modalidad DIRECTA sin ruta. Inválida: modalidad RUTA sin jornada/ruta.</x:v>
      </x:c>
      <x:c r="G10" s="52" t="str">
        <x:v>Proveedor A, 20 litros, DIRECTA.</x:v>
      </x:c>
      <x:c r="H10" s="52" t="str">
        <x:v>Registrar entrega directa y consultar historial/liquidación.</x:v>
      </x:c>
      <x:c r="I10" s="52" t="str">
        <x:v>Se guarda sin ruta y se incluye una sola vez en totales del proveedor.</x:v>
      </x:c>
      <x:c r="J10" s="52" t="str">
        <x:v>Alta</x:v>
      </x:c>
      <x:c r="K10" s="52" t="str">
        <x:v>Diseñado / No ejecutado</x:v>
      </x:c>
      <x:c r="L10" s="52" t="str">
        <x:v>Campos adicionales pendientes.</x:v>
      </x:c>
    </x:row>
    <x:row r="11" ht="82" customHeight="1">
      <x:c r="A11" s="52" t="str">
        <x:v>CP-07</x:v>
      </x:c>
      <x:c r="B11" s="52" t="str">
        <x:v>RF-08, RNF-01</x:v>
      </x:c>
      <x:c r="C11" s="52" t="str">
        <x:v>Verificar persistencia offline.</x:v>
      </x:c>
      <x:c r="D11" s="52" t="str">
        <x:v>Aplicación con planilla descargada; red deshabilitada.</x:v>
      </x:c>
      <x:c r="E11" s="52" t="str">
        <x:v>Prueba de estado y recuperación</x:v>
      </x:c>
      <x:c r="F11" s="52" t="str">
        <x:v>Estados: PENDIENTE antes de reinicio; PENDIENTE después de reinicio.</x:v>
      </x:c>
      <x:c r="G11" s="52" t="str">
        <x:v>Tres acopios válidos offline.</x:v>
      </x:c>
      <x:c r="H11" s="52" t="str">
        <x:v>Desactivar red, registrar, cerrar app, abrir y consultar.</x:v>
      </x:c>
      <x:c r="I11" s="52" t="str">
        <x:v>Los tres registros conservan datos e ID y siguen pendientes.</x:v>
      </x:c>
      <x:c r="J11" s="52" t="str">
        <x:v>Crítica</x:v>
      </x:c>
      <x:c r="K11" s="52" t="str">
        <x:v>Diseñado / No ejecutado</x:v>
      </x:c>
      <x:c r="L11" s="52" t="str">
        <x:v>Volumen máximo offline pendiente.</x:v>
      </x:c>
    </x:row>
    <x:row r="12" ht="82" customHeight="1">
      <x:c r="A12" s="52" t="str">
        <x:v>CP-08</x:v>
      </x:c>
      <x:c r="B12" s="52" t="str">
        <x:v>RF-09, RNF-02</x:v>
      </x:c>
      <x:c r="C12" s="52" t="str">
        <x:v>Sincronizar sin duplicados.</x:v>
      </x:c>
      <x:c r="D12" s="52" t="str">
        <x:v>CP-07 ejecutado; servidor accesible.</x:v>
      </x:c>
      <x:c r="E12" s="52" t="str">
        <x:v>Integración e idempotencia</x:v>
      </x:c>
      <x:c r="F12" s="52" t="str">
        <x:v>Primera entrega; reintento por pérdida de confirmación.</x:v>
      </x:c>
      <x:c r="G12" s="52" t="str">
        <x:v>Tres IDs pendientes; repetir el primero.</x:v>
      </x:c>
      <x:c r="H12" s="52" t="str">
        <x:v>Reconectar, sincronizar, simular reintento y consultar servidor.</x:v>
      </x:c>
      <x:c r="I12" s="52" t="str">
        <x:v>Cada ID existe una sola vez y pasa a SINCRONIZADO.</x:v>
      </x:c>
      <x:c r="J12" s="52" t="str">
        <x:v>Crítica</x:v>
      </x:c>
      <x:c r="K12" s="52" t="str">
        <x:v>Diseñado / No ejecutado</x:v>
      </x:c>
      <x:c r="L12" s="52" t="str">
        <x:v>Política técnica propuesta.</x:v>
      </x:c>
    </x:row>
    <x:row r="13" ht="82" customHeight="1">
      <x:c r="A13" s="52" t="str">
        <x:v>CP-09</x:v>
      </x:c>
      <x:c r="B13" s="52" t="str">
        <x:v>RF-09, RNF-02</x:v>
      </x:c>
      <x:c r="C13" s="52" t="str">
        <x:v>Hacer visible un conflicto.</x:v>
      </x:c>
      <x:c r="D13" s="52" t="str">
        <x:v>Mismo registro editado localmente y en servidor.</x:v>
      </x:c>
      <x:c r="E13" s="52" t="str">
        <x:v>Tabla de decisión</x:v>
      </x:c>
      <x:c r="F13" s="52" t="str">
        <x:v>Versiones iguales -&gt; sincroniza; diferentes -&gt; conflicto.</x:v>
      </x:c>
      <x:c r="G13" s="52" t="str">
        <x:v>ID X, versión local 2 y servidor 3.</x:v>
      </x:c>
      <x:c r="H13" s="52" t="str">
        <x:v>Enviar operación con versión desactualizada.</x:v>
      </x:c>
      <x:c r="I13" s="52" t="str">
        <x:v>No sobrescribe; conserva ambas versiones y marca CONFLICTO para revisión.</x:v>
      </x:c>
      <x:c r="J13" s="52" t="str">
        <x:v>Crítica</x:v>
      </x:c>
      <x:c r="K13" s="52" t="str">
        <x:v>Diseñado / No ejecutado</x:v>
      </x:c>
      <x:c r="L13" s="52" t="str">
        <x:v>Responsable de resolver pendiente.</x:v>
      </x:c>
    </x:row>
    <x:row r="14" ht="82" customHeight="1">
      <x:c r="A14" s="52" t="str">
        <x:v>CP-10</x:v>
      </x:c>
      <x:c r="B14" s="52" t="str">
        <x:v>RF-10</x:v>
      </x:c>
      <x:c r="C14" s="52" t="str">
        <x:v>Validar volumen recibido.</x:v>
      </x:c>
      <x:c r="D14" s="52" t="str">
        <x:v>Jornada/unidad identificada.</x:v>
      </x:c>
      <x:c r="E14" s="52" t="str">
        <x:v>Partición de equivalencia y límite</x:v>
      </x:c>
      <x:c r="F14" s="52" t="str">
        <x:v>Válida: número &gt;0. Inválidas: 0, negativa, texto, origen inexistente.</x:v>
      </x:c>
      <x:c r="G14" s="52" t="str">
        <x:v>1000; 0; -10; 'mil'.</x:v>
      </x:c>
      <x:c r="H14" s="52" t="str">
        <x:v>Intentar registrar cada recepción.</x:v>
      </x:c>
      <x:c r="I14" s="52" t="str">
        <x:v>Solo la cantidad positiva y origen válido crean recepción.</x:v>
      </x:c>
      <x:c r="J14" s="52" t="str">
        <x:v>Alta</x:v>
      </x:c>
      <x:c r="K14" s="52" t="str">
        <x:v>Diseñado / No ejecutado</x:v>
      </x:c>
      <x:c r="L14" s="52" t="str">
        <x:v>Tolerancia y máximo pendientes.</x:v>
      </x:c>
    </x:row>
    <x:row r="15" ht="82" customHeight="1">
      <x:c r="A15" s="52" t="str">
        <x:v>CP-11</x:v>
      </x:c>
      <x:c r="B15" s="52" t="str">
        <x:v>RF-11, RN-07</x:v>
      </x:c>
      <x:c r="C15" s="52" t="str">
        <x:v>Conciliar tres resultados posibles.</x:v>
      </x:c>
      <x:c r="D15" s="52" t="str">
        <x:v>Existen campo=1000 L y recepción editable de prueba.</x:v>
      </x:c>
      <x:c r="E15" s="52" t="str">
        <x:v>Partición de equivalencia</x:v>
      </x:c>
      <x:c r="F15" s="52" t="str">
        <x:v>Igual; recepción menor; recepción mayor.</x:v>
      </x:c>
      <x:c r="G15" s="52" t="str">
        <x:v>1000/1000; 1000/990; 1000/1010.</x:v>
      </x:c>
      <x:c r="H15" s="52" t="str">
        <x:v>Ejecutar conciliación en cada caso.</x:v>
      </x:c>
      <x:c r="I15" s="52" t="str">
        <x:v>Igual -&gt; CONFORME; menor/mayor -&gt; DISCREPANCIA con diferencia -10/+10.</x:v>
      </x:c>
      <x:c r="J15" s="52" t="str">
        <x:v>Crítica</x:v>
      </x:c>
      <x:c r="K15" s="52" t="str">
        <x:v>Diseñado / No ejecutado</x:v>
      </x:c>
      <x:c r="L15" s="52" t="str">
        <x:v>Si hay tolerancia, se añadirá análisis de límites.</x:v>
      </x:c>
    </x:row>
    <x:row r="16" ht="82" customHeight="1">
      <x:c r="A16" s="52" t="str">
        <x:v>CP-12</x:v>
      </x:c>
      <x:c r="B16" s="52" t="str">
        <x:v>RF-12, RF-35, RNF-05</x:v>
      </x:c>
      <x:c r="C16" s="52" t="str">
        <x:v>Comprobar corrección trazable.</x:v>
      </x:c>
      <x:c r="D16" s="52" t="str">
        <x:v>Discrepancia abierta; usuario autorizado.</x:v>
      </x:c>
      <x:c r="E16" s="52" t="str">
        <x:v>Transición de estados / auditoría</x:v>
      </x:c>
      <x:c r="F16" s="52" t="str">
        <x:v>Abierta -&gt; resuelta con motivo; intento sin motivo.</x:v>
      </x:c>
      <x:c r="G16" s="52" t="str">
        <x:v>Cambiar 990 a 995 con motivo; repetir sin motivo.</x:v>
      </x:c>
      <x:c r="H16" s="52" t="str">
        <x:v>Corregir y consultar bitácora.</x:v>
      </x:c>
      <x:c r="I16" s="52" t="str">
        <x:v>La corrección válida conserva ambos valores, usuario y motivo; la inválida se rechaza.</x:v>
      </x:c>
      <x:c r="J16" s="52" t="str">
        <x:v>Alta</x:v>
      </x:c>
      <x:c r="K16" s="52" t="str">
        <x:v>Diseñado / No ejecutado</x:v>
      </x:c>
      <x:c r="L16" s="52" t="str">
        <x:v>No se ejecuta hasta existir módulo.</x:v>
      </x:c>
    </x:row>
    <x:row r="17" ht="82" customHeight="1">
      <x:c r="A17" s="52" t="str">
        <x:v>CP-13</x:v>
      </x:c>
      <x:c r="B17" s="52" t="str">
        <x:v>RF-14, RN-09</x:v>
      </x:c>
      <x:c r="C17" s="52" t="str">
        <x:v>Validar datos de análisis.</x:v>
      </x:c>
      <x:c r="D17" s="52" t="str">
        <x:v>Proveedor/acopio y catálogo de parámetros aprobados.</x:v>
      </x:c>
      <x:c r="E17" s="52" t="str">
        <x:v>Partición de equivalencia</x:v>
      </x:c>
      <x:c r="F17" s="52" t="str">
        <x:v>Válida: parámetros obligatorios numéricos. Inválidas: falta parámetro; unidad no admitida; texto.</x:v>
      </x:c>
      <x:c r="G17" s="52" t="str">
        <x:v>Grasa, proteína, lactosa, densidad, temperatura, agua, pH.</x:v>
      </x:c>
      <x:c r="H17" s="52" t="str">
        <x:v>Registrar caso completo y casos incompletos.</x:v>
      </x:c>
      <x:c r="I17" s="52" t="str">
        <x:v>Solo el conjunto conforme al catálogo genera análisis.</x:v>
      </x:c>
      <x:c r="J17" s="52" t="str">
        <x:v>Crítica</x:v>
      </x:c>
      <x:c r="K17" s="52" t="str">
        <x:v>Diseñado / No ejecutado</x:v>
      </x:c>
      <x:c r="L17" s="52" t="str">
        <x:v>Unidades, rangos y obligatoriedad pendientes.</x:v>
      </x:c>
    </x:row>
    <x:row r="18" ht="82" customHeight="1">
      <x:c r="A18" s="52" t="str">
        <x:v>CP-14</x:v>
      </x:c>
      <x:c r="B18" s="52" t="str">
        <x:v>RF-16, RN-11</x:v>
      </x:c>
      <x:c r="C18" s="52" t="str">
        <x:v>Evaluar el límite citado de agua añadida.</x:v>
      </x:c>
      <x:c r="D18" s="52" t="str">
        <x:v>Parámetro de prueba configurado con umbral preliminar 5 %.</x:v>
      </x:c>
      <x:c r="E18" s="52" t="str">
        <x:v>Análisis de valores límite</x:v>
      </x:c>
      <x:c r="F18" s="52" t="str">
        <x:v>4.99 %; 5.00 %; 5.01 %.</x:v>
      </x:c>
      <x:c r="G18" s="52" t="str">
        <x:v>Tres resultados iguales salvo agua añadida.</x:v>
      </x:c>
      <x:c r="H18" s="52" t="str">
        <x:v>Clasificar los tres valores.</x:v>
      </x:c>
      <x:c r="I18" s="52" t="str">
        <x:v>El sistema aplica exactamente la regla configurada; el resultado definitivo en 5.00 % queda PENDIENTE DE VALIDACIÓN CON EL CLIENTE.</x:v>
      </x:c>
      <x:c r="J18" s="52" t="str">
        <x:v>Crítica</x:v>
      </x:c>
      <x:c r="K18" s="52" t="str">
        <x:v>Diseñado / No ejecutado</x:v>
      </x:c>
      <x:c r="L18" s="52" t="str">
        <x:v>Caso bloqueado para aprobación de regla.</x:v>
      </x:c>
    </x:row>
    <x:row r="19" ht="82" customHeight="1">
      <x:c r="A19" s="52" t="str">
        <x:v>CP-15</x:v>
      </x:c>
      <x:c r="B19" s="52" t="str">
        <x:v>RF-17, RF-18, RN-11</x:v>
      </x:c>
      <x:c r="C19" s="52" t="str">
        <x:v>Diferenciar primera ocurrencia y reincidencia.</x:v>
      </x:c>
      <x:c r="D19" s="52" t="str">
        <x:v>Proveedor con 0 y luego 1 incidencia histórica.</x:v>
      </x:c>
      <x:c r="E19" s="52" t="str">
        <x:v>Tabla de decisión / transición de estados</x:v>
      </x:c>
      <x:c r="F19" s="52" t="str">
        <x:v>Primera vez vs reincidencia; menor/mayor al umbral.</x:v>
      </x:c>
      <x:c r="G19" s="52" t="str">
        <x:v>Combinaciones de recurrencia y porcentaje.</x:v>
      </x:c>
      <x:c r="H19" s="52" t="str">
        <x:v>Registrar incidencias y solicitar medida.</x:v>
      </x:c>
      <x:c r="I19" s="52" t="str">
        <x:v>La incidencia conserva recurrencia y severidad; ninguna medida económica se aplica sin tabla aprobada.</x:v>
      </x:c>
      <x:c r="J19" s="52" t="str">
        <x:v>Crítica</x:v>
      </x:c>
      <x:c r="K19" s="52" t="str">
        <x:v>Diseñado / No ejecutado</x:v>
      </x:c>
      <x:c r="L19" s="52" t="str">
        <x:v>Sanciones exactas pendientes.</x:v>
      </x:c>
    </x:row>
    <x:row r="20" ht="82" customHeight="1">
      <x:c r="A20" s="52" t="str">
        <x:v>CP-16</x:v>
      </x:c>
      <x:c r="B20" s="52" t="str">
        <x:v>RF-17, RF-19, RN-26</x:v>
      </x:c>
      <x:c r="C20" s="52" t="str">
        <x:v>Comprobar seguimiento por acidificación.</x:v>
      </x:c>
      <x:c r="D20" s="52" t="str">
        <x:v>Análisis clasificado como acidificación.</x:v>
      </x:c>
      <x:c r="E20" s="52" t="str">
        <x:v>Transición de estados</x:v>
      </x:c>
      <x:c r="F20" s="52" t="str">
        <x:v>Abierta -&gt; capacitación programada -&gt; seguimiento -&gt; cerrada.</x:v>
      </x:c>
      <x:c r="G20" s="52" t="str">
        <x:v>Incidencia de acidificación y visita posterior.</x:v>
      </x:c>
      <x:c r="H20" s="52" t="str">
        <x:v>Registrar capacitación, resultado y cierre.</x:v>
      </x:c>
      <x:c r="I20" s="52" t="str">
        <x:v>El historial queda completo y no se confunde con adulteración.</x:v>
      </x:c>
      <x:c r="J20" s="52" t="str">
        <x:v>Media</x:v>
      </x:c>
      <x:c r="K20" s="52" t="str">
        <x:v>Diseñado / No ejecutado</x:v>
      </x:c>
      <x:c r="L20" s="52" t="str">
        <x:v>Número de oportunidades pendiente.</x:v>
      </x:c>
    </x:row>
    <x:row r="21" ht="82" customHeight="1">
      <x:c r="A21" s="52" t="str">
        <x:v>CP-17</x:v>
      </x:c>
      <x:c r="B21" s="52" t="str">
        <x:v>RF-15, RF-25, RNF-04</x:v>
      </x:c>
      <x:c r="C21" s="52" t="str">
        <x:v>Evitar enviar calidad al proveedor equivocado.</x:v>
      </x:c>
      <x:c r="D21" s="52" t="str">
        <x:v>Dos proveedores con análisis distintos.</x:v>
      </x:c>
      <x:c r="E21" s="52" t="str">
        <x:v>Partición de equivalencia y seguridad</x:v>
      </x:c>
      <x:c r="F21" s="52" t="str">
        <x:v>Destinatario correcto; intento de consulta ajena.</x:v>
      </x:c>
      <x:c r="G21" s="52" t="str">
        <x:v>Análisis A/Proveedor A y análisis B/Proveedor B.</x:v>
      </x:c>
      <x:c r="H21" s="52" t="str">
        <x:v>Generar resultado y probar acceso cruzado.</x:v>
      </x:c>
      <x:c r="I21" s="52" t="str">
        <x:v>Cada proveedor ve solo el suyo y la planta ve según permisos.</x:v>
      </x:c>
      <x:c r="J21" s="52" t="str">
        <x:v>Crítica</x:v>
      </x:c>
      <x:c r="K21" s="52" t="str">
        <x:v>Diseñado / No ejecutado</x:v>
      </x:c>
      <x:c r="L21" s="52" t="str">
        <x:v>Canal final pendiente.</x:v>
      </x:c>
    </x:row>
    <x:row r="22" ht="82" customHeight="1">
      <x:c r="A22" s="52" t="str">
        <x:v>CP-18</x:v>
      </x:c>
      <x:c r="B22" s="52" t="str">
        <x:v>RF-20, RN-13</x:v>
      </x:c>
      <x:c r="C22" s="52" t="str">
        <x:v>Verificar fronteras de la semana de acopio.</x:v>
      </x:c>
      <x:c r="D22" s="52" t="str">
        <x:v>Registros alrededor del cierre semanal.</x:v>
      </x:c>
      <x:c r="E22" s="52" t="str">
        <x:v>Análisis de valores límite temporal</x:v>
      </x:c>
      <x:c r="F22" s="52" t="str">
        <x:v>Miércoles anterior; jueves inicial; miércoles final; jueves siguiente.</x:v>
      </x:c>
      <x:c r="G22" s="52" t="str">
        <x:v>1 L en cada fecha.</x:v>
      </x:c>
      <x:c r="H22" s="52" t="str">
        <x:v>Cerrar semana jueves-miércoles.</x:v>
      </x:c>
      <x:c r="I22" s="52" t="str">
        <x:v>Incluye jueves inicial y miércoles final; excluye los dos registros externos.</x:v>
      </x:c>
      <x:c r="J22" s="52" t="str">
        <x:v>Crítica</x:v>
      </x:c>
      <x:c r="K22" s="52" t="str">
        <x:v>Diseñado / No ejecutado</x:v>
      </x:c>
      <x:c r="L22" s="52" t="str">
        <x:v>Zona horaria/hora de corte por confirmar.</x:v>
      </x:c>
    </x:row>
    <x:row r="23" ht="82" customHeight="1">
      <x:c r="A23" s="52" t="str">
        <x:v>CP-19</x:v>
      </x:c>
      <x:c r="B23" s="52" t="str">
        <x:v>RF-20</x:v>
      </x:c>
      <x:c r="C23" s="52" t="str">
        <x:v>Verificar total semanal.</x:v>
      </x:c>
      <x:c r="D23" s="52" t="str">
        <x:v>Semana con entregas de ambas modalidades y una anulada.</x:v>
      </x:c>
      <x:c r="E23" s="52" t="str">
        <x:v>Partición de equivalencia</x:v>
      </x:c>
      <x:c r="F23" s="52" t="str">
        <x:v>Vigente por ruta; vigente directa; anulada.</x:v>
      </x:c>
      <x:c r="G23" s="52" t="str">
        <x:v>10 + 20 + 30 L; anular 20 L.</x:v>
      </x:c>
      <x:c r="H23" s="52" t="str">
        <x:v>Calcular cierre semanal.</x:v>
      </x:c>
      <x:c r="I23" s="52" t="str">
        <x:v>Total vigente=40 L y mantiene trazabilidad de la anulación.</x:v>
      </x:c>
      <x:c r="J23" s="52" t="str">
        <x:v>Crítica</x:v>
      </x:c>
      <x:c r="K23" s="52" t="str">
        <x:v>Diseñado / No ejecutado</x:v>
      </x:c>
      <x:c r="L23" s="52" t="str">
        <x:v>Correcciones deben auditarse.</x:v>
      </x:c>
    </x:row>
    <x:row r="24" ht="82" customHeight="1">
      <x:c r="A24" s="52" t="str">
        <x:v>CP-20</x:v>
      </x:c>
      <x:c r="B24" s="52" t="str">
        <x:v>RF-21</x:v>
      </x:c>
      <x:c r="C24" s="52" t="str">
        <x:v>Aplicar precio por fecha sin alterar historia.</x:v>
      </x:c>
      <x:c r="D24" s="52" t="str">
        <x:v>Precio A vigente hasta fecha D; precio B desde D+1.</x:v>
      </x:c>
      <x:c r="E24" s="52" t="str">
        <x:v>Análisis de valores límite temporal</x:v>
      </x:c>
      <x:c r="F24" s="52" t="str">
        <x:v>Último día de A; primer día de B; solapamiento.</x:v>
      </x:c>
      <x:c r="G24" s="52" t="str">
        <x:v>Precios ficticios P1/P2 sin usar cifras de entrevista.</x:v>
      </x:c>
      <x:c r="H24" s="52" t="str">
        <x:v>Liquidar fechas frontera e intentar vigencias solapadas.</x:v>
      </x:c>
      <x:c r="I24" s="52" t="str">
        <x:v>Cada fecha usa su precio; el solapamiento incompatible se rechaza; históricos no cambian.</x:v>
      </x:c>
      <x:c r="J24" s="52" t="str">
        <x:v>Crítica</x:v>
      </x:c>
      <x:c r="K24" s="52" t="str">
        <x:v>Diseñado / No ejecutado</x:v>
      </x:c>
      <x:c r="L24" s="52" t="str">
        <x:v>Montos reales pendientes.</x:v>
      </x:c>
    </x:row>
    <x:row r="25" ht="82" customHeight="1">
      <x:c r="A25" s="52" t="str">
        <x:v>CP-21</x:v>
      </x:c>
      <x:c r="B25" s="52" t="str">
        <x:v>RF-22</x:v>
      </x:c>
      <x:c r="C25" s="52" t="str">
        <x:v>Calcular pago sin ajustes.</x:v>
      </x:c>
      <x:c r="D25" s="52" t="str">
        <x:v>Semana cerrada y precio vigente.</x:v>
      </x:c>
      <x:c r="E25" s="52" t="str">
        <x:v>Partición de equivalencia</x:v>
      </x:c>
      <x:c r="F25" s="52" t="str">
        <x:v>Litros positivos y sin incidencias económicas.</x:v>
      </x:c>
      <x:c r="G25" s="52" t="str">
        <x:v>100 L y precio parametrizado P.</x:v>
      </x:c>
      <x:c r="H25" s="52" t="str">
        <x:v>Generar liquidación.</x:v>
      </x:c>
      <x:c r="I25" s="52" t="str">
        <x:v>Total=100*P, con fórmula visible y referencias al cierre y precio.</x:v>
      </x:c>
      <x:c r="J25" s="52" t="str">
        <x:v>Crítica</x:v>
      </x:c>
      <x:c r="K25" s="52" t="str">
        <x:v>Diseñado / No ejecutado</x:v>
      </x:c>
      <x:c r="L25" s="52" t="str">
        <x:v>Se usa variable P, no precio inventado.</x:v>
      </x:c>
    </x:row>
    <x:row r="26" ht="82" customHeight="1">
      <x:c r="A26" s="52" t="str">
        <x:v>CP-22</x:v>
      </x:c>
      <x:c r="B26" s="52" t="str">
        <x:v>RF-18, RF-22, RN-11</x:v>
      </x:c>
      <x:c r="C26" s="52" t="str">
        <x:v>Bloquear ajuste no validado.</x:v>
      </x:c>
      <x:c r="D26" s="52" t="str">
        <x:v>Incidencia con medida económica sin regla aprobada.</x:v>
      </x:c>
      <x:c r="E26" s="52" t="str">
        <x:v>Tabla de decisión</x:v>
      </x:c>
      <x:c r="F26" s="52" t="str">
        <x:v>Regla aprobada vs regla pendiente.</x:v>
      </x:c>
      <x:c r="G26" s="52" t="str">
        <x:v>Ajuste asociado a incidencia.</x:v>
      </x:c>
      <x:c r="H26" s="52" t="str">
        <x:v>Intentar cerrar liquidación.</x:v>
      </x:c>
      <x:c r="I26" s="52" t="str">
        <x:v>Si la regla está pendiente, el cierre se bloquea o exige aprobación explícita; no calcula un descuento inventado.</x:v>
      </x:c>
      <x:c r="J26" s="52" t="str">
        <x:v>Crítica</x:v>
      </x:c>
      <x:c r="K26" s="52" t="str">
        <x:v>Diseñado / No ejecutado</x:v>
      </x:c>
      <x:c r="L26" s="52" t="str">
        <x:v>PENDIENTE DE VALIDACIÓN CON EL CLIENTE.</x:v>
      </x:c>
    </x:row>
    <x:row r="27" ht="82" customHeight="1">
      <x:c r="A27" s="52" t="str">
        <x:v>CP-23</x:v>
      </x:c>
      <x:c r="B27" s="52" t="str">
        <x:v>RF-23, RN-15, RNF-04</x:v>
      </x:c>
      <x:c r="C27" s="52" t="str">
        <x:v>Validar sobre de pago.</x:v>
      </x:c>
      <x:c r="D27" s="52" t="str">
        <x:v>Liquidación cerrada del proveedor A.</x:v>
      </x:c>
      <x:c r="E27" s="52" t="str">
        <x:v>Partición de equivalencia / revisión documental</x:v>
      </x:c>
      <x:c r="F27" s="52" t="str">
        <x:v>Campos completos; ausencia de campo; fuga de datos de B.</x:v>
      </x:c>
      <x:c r="G27" s="52" t="str">
        <x:v>Liquidación A y otro proveedor B.</x:v>
      </x:c>
      <x:c r="H27" s="52" t="str">
        <x:v>Generar sobre y comparar con liquidación.</x:v>
      </x:c>
      <x:c r="I27" s="52" t="str">
        <x:v>Contiene logo, días, litros, precio, ajustes y total de A; no contiene datos de B.</x:v>
      </x:c>
      <x:c r="J27" s="52" t="str">
        <x:v>Alta</x:v>
      </x:c>
      <x:c r="K27" s="52" t="str">
        <x:v>Diseñado / No ejecutado</x:v>
      </x:c>
      <x:c r="L27" s="52" t="str">
        <x:v>Formato físico pendiente de muestra.</x:v>
      </x:c>
    </x:row>
    <x:row r="28" ht="82" customHeight="1">
      <x:c r="A28" s="52" t="str">
        <x:v>CP-24</x:v>
      </x:c>
      <x:c r="B28" s="52" t="str">
        <x:v>RF-24</x:v>
      </x:c>
      <x:c r="C28" s="52" t="str">
        <x:v>Evitar doble pago.</x:v>
      </x:c>
      <x:c r="D28" s="52" t="str">
        <x:v>Liquidación pendiente.</x:v>
      </x:c>
      <x:c r="E28" s="52" t="str">
        <x:v>Transición de estados</x:v>
      </x:c>
      <x:c r="F28" s="52" t="str">
        <x:v>PENDIENTE -&gt; PAGADA; PAGADA -&gt; PAGADA otra vez; PAGADA -&gt; ANULADA con motivo.</x:v>
      </x:c>
      <x:c r="G28" s="52" t="str">
        <x:v>Misma liquidación.</x:v>
      </x:c>
      <x:c r="H28" s="52" t="str">
        <x:v>Registrar pago dos veces y luego anulación autorizada.</x:v>
      </x:c>
      <x:c r="I28" s="52" t="str">
        <x:v>Solo existe un pago vigente; reintento no duplica y la anulación queda auditada.</x:v>
      </x:c>
      <x:c r="J28" s="52" t="str">
        <x:v>Media</x:v>
      </x:c>
      <x:c r="K28" s="52" t="str">
        <x:v>Diseñado / No ejecutado</x:v>
      </x:c>
      <x:c r="L28" s="52" t="str">
        <x:v>Procedimiento de anulación pendiente.</x:v>
      </x:c>
    </x:row>
    <x:row r="29" ht="82" customHeight="1">
      <x:c r="A29" s="52" t="str">
        <x:v>CP-25</x:v>
      </x:c>
      <x:c r="B29" s="52" t="str">
        <x:v>RF-25, RN-17, RN-18</x:v>
      </x:c>
      <x:c r="C29" s="52" t="str">
        <x:v>Validar aviso diario.</x:v>
      </x:c>
      <x:c r="D29" s="52" t="str">
        <x:v>Acopio confirmado del proveedor A.</x:v>
      </x:c>
      <x:c r="E29" s="52" t="str">
        <x:v>Partición de equivalencia</x:v>
      </x:c>
      <x:c r="F29" s="52" t="str">
        <x:v>Registro propio; registro ajeno; sin canal disponible.</x:v>
      </x:c>
      <x:c r="G29" s="52" t="str">
        <x:v>Acopio A y proveedor B.</x:v>
      </x:c>
      <x:c r="H29" s="52" t="str">
        <x:v>Publicar aviso y consultar con A/B.</x:v>
      </x:c>
      <x:c r="I29" s="52" t="str">
        <x:v>A recibe fecha/litros e identidad de planta; B no accede. La falta de canal queda en cola o en alternativa validada.</x:v>
      </x:c>
      <x:c r="J29" s="52" t="str">
        <x:v>Crítica</x:v>
      </x:c>
      <x:c r="K29" s="52" t="str">
        <x:v>Diseñado / No ejecutado</x:v>
      </x:c>
      <x:c r="L29" s="52" t="str">
        <x:v>Canal y plazo pendientes.</x:v>
      </x:c>
    </x:row>
    <x:row r="30" ht="82" customHeight="1">
      <x:c r="A30" s="52" t="str">
        <x:v>CP-26</x:v>
      </x:c>
      <x:c r="B30" s="52" t="str">
        <x:v>RF-25, RN-13, RN-17</x:v>
      </x:c>
      <x:c r="C30" s="52" t="str">
        <x:v>Validar resumen semanal.</x:v>
      </x:c>
      <x:c r="D30" s="52" t="str">
        <x:v>Semana cerrada con datos de dos proveedores.</x:v>
      </x:c>
      <x:c r="E30" s="52" t="str">
        <x:v>Valores límite temporal y equivalencia</x:v>
      </x:c>
      <x:c r="F30" s="52" t="str">
        <x:v>Fechas dentro/fuera de jueves-miércoles; proveedor A/B.</x:v>
      </x:c>
      <x:c r="G30" s="52" t="str">
        <x:v>Conjunto de CP-18 para A y otro para B.</x:v>
      </x:c>
      <x:c r="H30" s="52" t="str">
        <x:v>Generar resumen de A.</x:v>
      </x:c>
      <x:c r="I30" s="52" t="str">
        <x:v>Solo suma registros de A dentro de la semana y coincide con RF-20.</x:v>
      </x:c>
      <x:c r="J30" s="52" t="str">
        <x:v>Alta</x:v>
      </x:c>
      <x:c r="K30" s="52" t="str">
        <x:v>Diseñado / No ejecutado</x:v>
      </x:c>
      <x:c r="L30" s="52" t="str">
        <x:v>Momento de envío pendiente.</x:v>
      </x:c>
    </x:row>
    <x:row r="31" ht="82" customHeight="1">
      <x:c r="A31" s="52" t="str">
        <x:v>CP-27</x:v>
      </x:c>
      <x:c r="B31" s="52" t="str">
        <x:v>RF-26</x:v>
      </x:c>
      <x:c r="C31" s="52" t="str">
        <x:v>Validar fecha de evento.</x:v>
      </x:c>
      <x:c r="D31" s="52" t="str">
        <x:v>Usuario autorizado.</x:v>
      </x:c>
      <x:c r="E31" s="52" t="str">
        <x:v>Análisis de valores límite temporal</x:v>
      </x:c>
      <x:c r="F31" s="52" t="str">
        <x:v>Fin&gt;inicio; fin=inicio; fin&lt;inicio.</x:v>
      </x:c>
      <x:c r="G31" s="52" t="str">
        <x:v>10:00-11:00; 10:00-10:00; 11:00-10:00.</x:v>
      </x:c>
      <x:c r="H31" s="52" t="str">
        <x:v>Crear los tres eventos.</x:v>
      </x:c>
      <x:c r="I31" s="52" t="str">
        <x:v>Solo el primer evento se publica.</x:v>
      </x:c>
      <x:c r="J31" s="52" t="str">
        <x:v>Media</x:v>
      </x:c>
      <x:c r="K31" s="52" t="str">
        <x:v>Diseñado / No ejecutado</x:v>
      </x:c>
      <x:c r="L31" s="52" t="str">
        <x:v>Zona horaria y recordatorios pendientes.</x:v>
      </x:c>
    </x:row>
    <x:row r="32" ht="82" customHeight="1">
      <x:c r="A32" s="52" t="str">
        <x:v>CP-28</x:v>
      </x:c>
      <x:c r="B32" s="52" t="str">
        <x:v>RF-27</x:v>
      </x:c>
      <x:c r="C32" s="52" t="str">
        <x:v>Evitar asistencia duplicada.</x:v>
      </x:c>
      <x:c r="D32" s="52" t="str">
        <x:v>Evento publicado; proveedor convocado.</x:v>
      </x:c>
      <x:c r="E32" s="52" t="str">
        <x:v>Partición de equivalencia</x:v>
      </x:c>
      <x:c r="F32" s="52" t="str">
        <x:v>Primera marcación; repetida; corrección autorizada.</x:v>
      </x:c>
      <x:c r="G32" s="52" t="str">
        <x:v>Proveedor A, mismo evento.</x:v>
      </x:c>
      <x:c r="H32" s="52" t="str">
        <x:v>Marcar dos veces y corregir.</x:v>
      </x:c>
      <x:c r="I32" s="52" t="str">
        <x:v>Existe un estado vigente y el historial conserva la corrección.</x:v>
      </x:c>
      <x:c r="J32" s="52" t="str">
        <x:v>Media</x:v>
      </x:c>
      <x:c r="K32" s="52" t="str">
        <x:v>Diseñado / No ejecutado</x:v>
      </x:c>
      <x:c r="L32" s="52" t="str">
        <x:v>Método QR/lista pendiente.</x:v>
      </x:c>
    </x:row>
    <x:row r="33" ht="82" customHeight="1">
      <x:c r="A33" s="52" t="str">
        <x:v>CP-29</x:v>
      </x:c>
      <x:c r="B33" s="52" t="str">
        <x:v>RF-28, RF-29, RN-21</x:v>
      </x:c>
      <x:c r="C33" s="52" t="str">
        <x:v>Calcular rendimiento sin asumir meta.</x:v>
      </x:c>
      <x:c r="D33" s="52" t="str">
        <x:v>Fórmula y unidades de prueba configuradas.</x:v>
      </x:c>
      <x:c r="E33" s="52" t="str">
        <x:v>Partición de equivalencia y valores límite</x:v>
      </x:c>
      <x:c r="F33" s="52" t="str">
        <x:v>Entrada &gt;0; entrada=0; salida negativa; fórmula aprobada.</x:v>
      </x:c>
      <x:c r="G33" s="52" t="str">
        <x:v>100 L y salida Q; 0 L; -1 unidad.</x:v>
      </x:c>
      <x:c r="H33" s="52" t="str">
        <x:v>Registrar lotes y calcular.</x:v>
      </x:c>
      <x:c r="I33" s="52" t="str">
        <x:v>Caso válido produce rendimiento según fórmula; divisiones por cero y cantidades negativas se rechazan.</x:v>
      </x:c>
      <x:c r="J33" s="52" t="str">
        <x:v>Media</x:v>
      </x:c>
      <x:c r="K33" s="52" t="str">
        <x:v>Diseñado / No ejecutado</x:v>
      </x:c>
      <x:c r="L33" s="52" t="str">
        <x:v>Q y unidad real pendientes.</x:v>
      </x:c>
    </x:row>
    <x:row r="34" ht="82" customHeight="1">
      <x:c r="A34" s="52" t="str">
        <x:v>CP-30</x:v>
      </x:c>
      <x:c r="B34" s="52" t="str">
        <x:v>RF-30, RF-31</x:v>
      </x:c>
      <x:c r="C34" s="52" t="str">
        <x:v>Validar venta y existencia.</x:v>
      </x:c>
      <x:c r="D34" s="52" t="str">
        <x:v>Producto, cliente y precio vigentes; saldo S.</x:v>
      </x:c>
      <x:c r="E34" s="52" t="str">
        <x:v>Partición de equivalencia y límite</x:v>
      </x:c>
      <x:c r="F34" s="52" t="str">
        <x:v>0; cantidad entre 0 y S; cantidad=S; cantidad&gt;S; negativa.</x:v>
      </x:c>
      <x:c r="G34" s="52" t="str">
        <x:v>S=10 unidades de prueba; vender 0,5,10,11,-1.</x:v>
      </x:c>
      <x:c r="H34" s="52" t="str">
        <x:v>Registrar ventas en escenarios aislados.</x:v>
      </x:c>
      <x:c r="I34" s="52" t="str">
        <x:v>Solo 5 y 10 son válidos; 10 deja saldo cero; los demás se rechazan.</x:v>
      </x:c>
      <x:c r="J34" s="52" t="str">
        <x:v>Media</x:v>
      </x:c>
      <x:c r="K34" s="52" t="str">
        <x:v>Diseñado / No ejecutado</x:v>
      </x:c>
      <x:c r="L34" s="52" t="str">
        <x:v>Unidad real por producto pendiente.</x:v>
      </x:c>
    </x:row>
    <x:row r="35" ht="82" customHeight="1">
      <x:c r="A35" s="52" t="str">
        <x:v>CP-31</x:v>
      </x:c>
      <x:c r="B35" s="52" t="str">
        <x:v>RF-32, RF-33</x:v>
      </x:c>
      <x:c r="C35" s="52" t="str">
        <x:v>Reconciliar reportes con fuentes.</x:v>
      </x:c>
      <x:c r="D35" s="52" t="str">
        <x:v>Datos controlados de acopio, calidad, pago, producción y venta.</x:v>
      </x:c>
      <x:c r="E35" s="52" t="str">
        <x:v>Prueba de sistema / reconciliación</x:v>
      </x:c>
      <x:c r="F35" s="52" t="str">
        <x:v>Filtros por periodo/proveedor/zona y conjunto vacío.</x:v>
      </x:c>
      <x:c r="G35" s="52" t="str">
        <x:v>Dataset de prueba con totales conocidos.</x:v>
      </x:c>
      <x:c r="H35" s="52" t="str">
        <x:v>Generar reportes y comparar cada total.</x:v>
      </x:c>
      <x:c r="I35" s="52" t="str">
        <x:v>Los totales y subtotales coinciden; filtros no arrastran datos ajenos y un conjunto vacío muestra cero, no error.</x:v>
      </x:c>
      <x:c r="J35" s="52" t="str">
        <x:v>Crítica</x:v>
      </x:c>
      <x:c r="K35" s="52" t="str">
        <x:v>Diseñado / No ejecutado</x:v>
      </x:c>
      <x:c r="L35" s="52" t="str">
        <x:v>Formatos de exportación pendientes.</x:v>
      </x:c>
    </x:row>
    <x:row r="36" ht="82" customHeight="1">
      <x:c r="A36" s="52" t="str">
        <x:v>CP-32</x:v>
      </x:c>
      <x:c r="B36" s="52" t="str">
        <x:v>RF-34, RNF-03</x:v>
      </x:c>
      <x:c r="C36" s="52" t="str">
        <x:v>Verificar permisos por rol.</x:v>
      </x:c>
      <x:c r="D36" s="52" t="str">
        <x:v>Matriz de roles aprobada.</x:v>
      </x:c>
      <x:c r="E36" s="52" t="str">
        <x:v>Tabla de decisión / seguridad</x:v>
      </x:c>
      <x:c r="F36" s="52" t="str">
        <x:v>Rol permitido y no permitido para cada acción crítica.</x:v>
      </x:c>
      <x:c r="G36" s="52" t="str">
        <x:v>Usuarios de cada rol.</x:v>
      </x:c>
      <x:c r="H36" s="52" t="str">
        <x:v>Invocar acciones desde interfaz y servicio.</x:v>
      </x:c>
      <x:c r="I36" s="52" t="str">
        <x:v>Permitidas funcionan; prohibidas se deniegan sin datos ni cambios.</x:v>
      </x:c>
      <x:c r="J36" s="52" t="str">
        <x:v>Crítica</x:v>
      </x:c>
      <x:c r="K36" s="52" t="str">
        <x:v>Diseñado / No ejecutado</x:v>
      </x:c>
      <x:c r="L36" s="52" t="str">
        <x:v>Bloqueado hasta validar roles.</x:v>
      </x:c>
    </x:row>
    <x:row r="37" ht="82" customHeight="1">
      <x:c r="A37" s="52" t="str">
        <x:v>CP-33</x:v>
      </x:c>
      <x:c r="B37" s="52" t="str">
        <x:v>RNF-04</x:v>
      </x:c>
      <x:c r="C37" s="52" t="str">
        <x:v>Verificar privacidad entre proveedores.</x:v>
      </x:c>
      <x:c r="D37" s="52" t="str">
        <x:v>Dos cuentas de proveedor y datos personales/financieros.</x:v>
      </x:c>
      <x:c r="E37" s="52" t="str">
        <x:v>Partición de equivalencia / seguridad</x:v>
      </x:c>
      <x:c r="F37" s="52" t="str">
        <x:v>Propio vs ajeno; exportación autorizada/no autorizada.</x:v>
      </x:c>
      <x:c r="G37" s="52" t="str">
        <x:v>Proveedor A y B.</x:v>
      </x:c>
      <x:c r="H37" s="52" t="str">
        <x:v>Consultar perfiles, avisos, liquidaciones y exportaciones cruzadas.</x:v>
      </x:c>
      <x:c r="I37" s="52" t="str">
        <x:v>No hay exposición cruzada en ningún canal.</x:v>
      </x:c>
      <x:c r="J37" s="52" t="str">
        <x:v>Crítica</x:v>
      </x:c>
      <x:c r="K37" s="52" t="str">
        <x:v>Diseñado / No ejecutado</x:v>
      </x:c>
      <x:c r="L37" s="52" t="str">
        <x:v>No requiere inventar roles; se completa con matriz aprobada.</x:v>
      </x:c>
    </x:row>
    <x:row r="38" ht="82" customHeight="1">
      <x:c r="A38" s="52" t="str">
        <x:v>CP-34</x:v>
      </x:c>
      <x:c r="B38" s="52" t="str">
        <x:v>RNF-09, RNF-12</x:v>
      </x:c>
      <x:c r="C38" s="52" t="str">
        <x:v>Auditar dependencias de Clean Architecture.</x:v>
      </x:c>
      <x:c r="D38" s="52" t="str">
        <x:v>Estructura de proyectos Kotlin creada.</x:v>
      </x:c>
      <x:c r="E38" s="52" t="str">
        <x:v>Prueba estructural / revisión estática</x:v>
      </x:c>
      <x:c r="F38" s="52" t="str">
        <x:v>Dependencias permitidas hacia adentro; importación prohibida desde dominio a infraestructura.</x:v>
      </x:c>
      <x:c r="G38" s="52" t="str">
        <x:v>Módulos domain, application, adapters, infrastructure.</x:v>
      </x:c>
      <x:c r="H38" s="52" t="str">
        <x:v>Ejecutar reglas de arquitectura y revisar imports.</x:v>
      </x:c>
      <x:c r="I38" s="52" t="str">
        <x:v>Dominio no importa frameworks, BD, red ni dispositivos; las integraciones se realizan por puertos/adaptadores.</x:v>
      </x:c>
      <x:c r="J38" s="52" t="str">
        <x:v>Alta</x:v>
      </x:c>
      <x:c r="K38" s="52" t="str">
        <x:v>Diseñado / No ejecutado</x:v>
      </x:c>
      <x:c r="L38" s="52" t="str">
        <x:v>Se ejecuta cuando exista código.</x:v>
      </x:c>
    </x:row>
  </x:sheetData>
  <x:mergeCells>
    <x:mergeCell ref="A1:L1"/>
    <x:mergeCell ref="A2:L2"/>
  </x:mergeCells>
  <x:conditionalFormatting sqref="K5:K38">
    <x:cfRule type="containsText" dxfId="5" priority="1" operator="containsText" text="No ejecutado"/>
  </x:conditionalFormatting>
  <x:dataValidations count="1">
    <x:dataValidation type="list" sqref="K5:K38">
      <x:formula1>"Diseñado / No ejecutado,Bloqueado,En ejecución,Aprobado,Fallido"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e2a31f36443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8" hidden="0" customWidth="1"/>
    <x:col min="4" max="4" width="12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2" hidden="0" customWidth="1"/>
  </x:cols>
  <x:sheetData>
    <x:row r="1" ht="30" customHeight="1">
      <x:c r="A1" s="35" t="str">
        <x:v>MATRIZ DE TRAZABILIDAD</x:v>
      </x:c>
      <x:c r="B1" s="35"/>
      <x:c r="C1" s="35"/>
      <x:c r="D1" s="35"/>
      <x:c r="E1" s="35"/>
      <x:c r="F1" s="35"/>
      <x:c r="G1" s="35"/>
      <x:c r="H1" s="35"/>
      <x:c r="I1" s="35"/>
    </x:row>
    <x:row r="2" ht="34" customHeight="1">
      <x:c r="A2" s="38" t="str">
        <x:v>Reconstruye Origen/Regla -&gt; Requisito -&gt; Componente -&gt; Caso de prueba. El código aún no existe.</x:v>
      </x:c>
      <x:c r="B2" s="38"/>
      <x:c r="C2" s="38"/>
      <x:c r="D2" s="38"/>
      <x:c r="E2" s="38"/>
      <x:c r="F2" s="38"/>
      <x:c r="G2" s="38"/>
      <x:c r="H2" s="38"/>
      <x:c r="I2" s="38"/>
    </x:row>
    <x:row r="4" ht="34" customHeight="1">
      <x:c r="A4" s="50" t="str">
        <x:v>ID requisito</x:v>
      </x:c>
      <x:c r="B4" s="50" t="str">
        <x:v>Nombre</x:v>
      </x:c>
      <x:c r="C4" s="50" t="str">
        <x:v>Origen / regla</x:v>
      </x:c>
      <x:c r="D4" s="50" t="str">
        <x:v>Prioridad</x:v>
      </x:c>
      <x:c r="E4" s="50" t="str">
        <x:v>Componente</x:v>
      </x:c>
      <x:c r="F4" s="50" t="str">
        <x:v>Casos de prueba</x:v>
      </x:c>
      <x:c r="G4" s="50" t="str">
        <x:v>Módulo / código</x:v>
      </x:c>
      <x:c r="H4" s="50" t="str">
        <x:v>Documento</x:v>
      </x:c>
      <x:c r="I4" s="50" t="str">
        <x:v>Estado</x:v>
      </x:c>
    </x:row>
    <x:row r="5" ht="55" customHeight="1">
      <x:c r="A5" s="51" t="str">
        <x:v>RF-01</x:v>
      </x:c>
      <x:c r="B5" s="51" t="str">
        <x:v>Registrar proveedor</x:v>
      </x:c>
      <x:c r="C5" s="51" t="str">
        <x:v>RN-05; F1 TW-F</x:v>
      </x:c>
      <x:c r="D5" s="51" t="str">
        <x:v>Must</x:v>
      </x:c>
      <x:c r="E5" s="51" t="str">
        <x:v>Proveedores</x:v>
      </x:c>
      <x:c r="F5" s="51" t="str">
        <x:v>CP-01</x:v>
      </x:c>
      <x:c r="G5" s="51" t="str">
        <x:v>Pendiente de implementación</x:v>
      </x:c>
      <x:c r="H5" s="51" t="str">
        <x:v>ADR-001; requerimientos.md; matriz</x:v>
      </x:c>
      <x:c r="I5" s="51" t="str">
        <x:v>Parcial: falta código y ejecución</x:v>
      </x:c>
    </x:row>
    <x:row r="6" ht="55" customHeight="1">
      <x:c r="A6" s="52" t="str">
        <x:v>RF-02</x:v>
      </x:c>
      <x:c r="B6" s="52" t="str">
        <x:v>Actualizar ubicación del proveedor</x:v>
      </x:c>
      <x:c r="C6" s="52" t="str">
        <x:v>RN-02, RN-03, RN-04</x:v>
      </x:c>
      <x:c r="D6" s="52" t="str">
        <x:v>Must</x:v>
      </x:c>
      <x:c r="E6" s="52" t="str">
        <x:v>Proveedores y rutas</x:v>
      </x:c>
      <x:c r="F6" s="52" t="str">
        <x:v>CP-02</x:v>
      </x:c>
      <x:c r="G6" s="52" t="str">
        <x:v>Pendiente de implementación</x:v>
      </x:c>
      <x:c r="H6" s="52" t="str">
        <x:v>ADR-001; requerimientos.md; matriz</x:v>
      </x:c>
      <x:c r="I6" s="52" t="str">
        <x:v>Parcial: falta código y ejecución</x:v>
      </x:c>
    </x:row>
    <x:row r="7" ht="55" customHeight="1">
      <x:c r="A7" s="52" t="str">
        <x:v>RF-03</x:v>
      </x:c>
      <x:c r="B7" s="52" t="str">
        <x:v>Consultar historial del proveedor</x:v>
      </x:c>
      <x:c r="C7" s="52" t="str">
        <x:v>RN-17</x:v>
      </x:c>
      <x:c r="D7" s="52" t="str">
        <x:v>Should</x:v>
      </x:c>
      <x:c r="E7" s="52" t="str">
        <x:v>Consulta del proveedor</x:v>
      </x:c>
      <x:c r="F7" s="52" t="str">
        <x:v>Sin caso específico</x:v>
      </x:c>
      <x:c r="G7" s="52" t="str">
        <x:v>Pendiente de implementación</x:v>
      </x:c>
      <x:c r="H7" s="52" t="str">
        <x:v>ADR-001; requerimientos.md; matriz</x:v>
      </x:c>
      <x:c r="I7" s="52" t="str">
        <x:v>Parcial: falta caso, código y ejecución</x:v>
      </x:c>
    </x:row>
    <x:row r="8" ht="55" customHeight="1">
      <x:c r="A8" s="52" t="str">
        <x:v>RF-04</x:v>
      </x:c>
      <x:c r="B8" s="52" t="str">
        <x:v>Administrar zonas y rutas</x:v>
      </x:c>
      <x:c r="C8" s="52" t="str">
        <x:v>RN-02, RN-05</x:v>
      </x:c>
      <x:c r="D8" s="52" t="str">
        <x:v>Must</x:v>
      </x:c>
      <x:c r="E8" s="52" t="str">
        <x:v>Proveedores y rutas</x:v>
      </x:c>
      <x:c r="F8" s="52" t="str">
        <x:v>CP-03</x:v>
      </x:c>
      <x:c r="G8" s="52" t="str">
        <x:v>Pendiente de implementación</x:v>
      </x:c>
      <x:c r="H8" s="52" t="str">
        <x:v>ADR-001; requerimientos.md; matriz</x:v>
      </x:c>
      <x:c r="I8" s="52" t="str">
        <x:v>Parcial: falta código y ejecución</x:v>
      </x:c>
    </x:row>
    <x:row r="9" ht="55" customHeight="1">
      <x:c r="A9" s="52" t="str">
        <x:v>RF-05</x:v>
      </x:c>
      <x:c r="B9" s="52" t="str">
        <x:v>Programar jornada de acopio</x:v>
      </x:c>
      <x:c r="C9" s="52" t="str">
        <x:v>F2 01:04-03:14</x:v>
      </x:c>
      <x:c r="D9" s="52" t="str">
        <x:v>Should</x:v>
      </x:c>
      <x:c r="E9" s="52" t="str">
        <x:v>Planificación de acopio</x:v>
      </x:c>
      <x:c r="F9" s="52" t="str">
        <x:v>Sin caso específico</x:v>
      </x:c>
      <x:c r="G9" s="52" t="str">
        <x:v>Pendiente de implementación</x:v>
      </x:c>
      <x:c r="H9" s="52" t="str">
        <x:v>ADR-001; requerimientos.md; matriz</x:v>
      </x:c>
      <x:c r="I9" s="52" t="str">
        <x:v>Parcial: falta caso, código y ejecución</x:v>
      </x:c>
    </x:row>
    <x:row r="10" ht="55" customHeight="1">
      <x:c r="A10" s="52" t="str">
        <x:v>RF-06</x:v>
      </x:c>
      <x:c r="B10" s="52" t="str">
        <x:v>Registrar acopio en campo</x:v>
      </x:c>
      <x:c r="C10" s="52" t="str">
        <x:v>RN-05, RN-06</x:v>
      </x:c>
      <x:c r="D10" s="52" t="str">
        <x:v>Must</x:v>
      </x:c>
      <x:c r="E10" s="52" t="str">
        <x:v>Acopio</x:v>
      </x:c>
      <x:c r="F10" s="52" t="str">
        <x:v>CP-04, CP-05</x:v>
      </x:c>
      <x:c r="G10" s="52" t="str">
        <x:v>Pendiente de implementación</x:v>
      </x:c>
      <x:c r="H10" s="52" t="str">
        <x:v>ADR-001; requerimientos.md; matriz</x:v>
      </x:c>
      <x:c r="I10" s="52" t="str">
        <x:v>Parcial: falta código y ejecución</x:v>
      </x:c>
    </x:row>
    <x:row r="11" ht="55" customHeight="1">
      <x:c r="A11" s="52" t="str">
        <x:v>RF-07</x:v>
      </x:c>
      <x:c r="B11" s="52" t="str">
        <x:v>Registrar entrega directa</x:v>
      </x:c>
      <x:c r="C11" s="52" t="str">
        <x:v>RN-01</x:v>
      </x:c>
      <x:c r="D11" s="52" t="str">
        <x:v>Must</x:v>
      </x:c>
      <x:c r="E11" s="52" t="str">
        <x:v>Acopio</x:v>
      </x:c>
      <x:c r="F11" s="52" t="str">
        <x:v>CP-06</x:v>
      </x:c>
      <x:c r="G11" s="52" t="str">
        <x:v>Pendiente de implementación</x:v>
      </x:c>
      <x:c r="H11" s="52" t="str">
        <x:v>ADR-001; requerimientos.md; matriz</x:v>
      </x:c>
      <x:c r="I11" s="52" t="str">
        <x:v>Parcial: falta código y ejecución</x:v>
      </x:c>
    </x:row>
    <x:row r="12" ht="55" customHeight="1">
      <x:c r="A12" s="52" t="str">
        <x:v>RF-08</x:v>
      </x:c>
      <x:c r="B12" s="52" t="str">
        <x:v>Guardar acopios sin Internet</x:v>
      </x:c>
      <x:c r="C12" s="52" t="str">
        <x:v>F1 22:35-23:07; RNF-01</x:v>
      </x:c>
      <x:c r="D12" s="52" t="str">
        <x:v>Must</x:v>
      </x:c>
      <x:c r="E12" s="52" t="str">
        <x:v>Sincronización</x:v>
      </x:c>
      <x:c r="F12" s="52" t="str">
        <x:v>CP-07</x:v>
      </x:c>
      <x:c r="G12" s="52" t="str">
        <x:v>Pendiente de implementación</x:v>
      </x:c>
      <x:c r="H12" s="52" t="str">
        <x:v>ADR-001; requerimientos.md; matriz</x:v>
      </x:c>
      <x:c r="I12" s="52" t="str">
        <x:v>Parcial: falta código y ejecución</x:v>
      </x:c>
    </x:row>
    <x:row r="13" ht="55" customHeight="1">
      <x:c r="A13" s="52" t="str">
        <x:v>RF-09</x:v>
      </x:c>
      <x:c r="B13" s="52" t="str">
        <x:v>Sincronizar operaciones pendientes</x:v>
      </x:c>
      <x:c r="C13" s="52" t="str">
        <x:v>F1 22:35-23:07; RNF-02</x:v>
      </x:c>
      <x:c r="D13" s="52" t="str">
        <x:v>Must</x:v>
      </x:c>
      <x:c r="E13" s="52" t="str">
        <x:v>Sincronización</x:v>
      </x:c>
      <x:c r="F13" s="52" t="str">
        <x:v>CP-08, CP-09</x:v>
      </x:c>
      <x:c r="G13" s="52" t="str">
        <x:v>Pendiente de implementación</x:v>
      </x:c>
      <x:c r="H13" s="52" t="str">
        <x:v>ADR-001; requerimientos.md; matriz</x:v>
      </x:c>
      <x:c r="I13" s="52" t="str">
        <x:v>Parcial: falta código y ejecución</x:v>
      </x:c>
    </x:row>
    <x:row r="14" ht="55" customHeight="1">
      <x:c r="A14" s="52" t="str">
        <x:v>RF-10</x:v>
      </x:c>
      <x:c r="B14" s="52" t="str">
        <x:v>Registrar recepción en planta</x:v>
      </x:c>
      <x:c r="C14" s="52" t="str">
        <x:v>RN-07</x:v>
      </x:c>
      <x:c r="D14" s="52" t="str">
        <x:v>Must</x:v>
      </x:c>
      <x:c r="E14" s="52" t="str">
        <x:v>Recepción</x:v>
      </x:c>
      <x:c r="F14" s="52" t="str">
        <x:v>CP-10</x:v>
      </x:c>
      <x:c r="G14" s="52" t="str">
        <x:v>Pendiente de implementación</x:v>
      </x:c>
      <x:c r="H14" s="52" t="str">
        <x:v>ADR-001; requerimientos.md; matriz</x:v>
      </x:c>
      <x:c r="I14" s="52" t="str">
        <x:v>Parcial: falta código y ejecución</x:v>
      </x:c>
    </x:row>
    <x:row r="15" ht="55" customHeight="1">
      <x:c r="A15" s="52" t="str">
        <x:v>RF-11</x:v>
      </x:c>
      <x:c r="B15" s="52" t="str">
        <x:v>Conciliar campo y planta</x:v>
      </x:c>
      <x:c r="C15" s="52" t="str">
        <x:v>RN-07</x:v>
      </x:c>
      <x:c r="D15" s="52" t="str">
        <x:v>Must</x:v>
      </x:c>
      <x:c r="E15" s="52" t="str">
        <x:v>Recepción y conciliación</x:v>
      </x:c>
      <x:c r="F15" s="52" t="str">
        <x:v>CP-11</x:v>
      </x:c>
      <x:c r="G15" s="52" t="str">
        <x:v>Pendiente de implementación</x:v>
      </x:c>
      <x:c r="H15" s="52" t="str">
        <x:v>ADR-001; requerimientos.md; matriz</x:v>
      </x:c>
      <x:c r="I15" s="52" t="str">
        <x:v>Parcial: falta código y ejecución</x:v>
      </x:c>
    </x:row>
    <x:row r="16" ht="55" customHeight="1">
      <x:c r="A16" s="52" t="str">
        <x:v>RF-12</x:v>
      </x:c>
      <x:c r="B16" s="52" t="str">
        <x:v>Resolver discrepancia</x:v>
      </x:c>
      <x:c r="C16" s="52" t="str">
        <x:v>Necesidad derivada de RN-07</x:v>
      </x:c>
      <x:c r="D16" s="52" t="str">
        <x:v>Should</x:v>
      </x:c>
      <x:c r="E16" s="52" t="str">
        <x:v>Recepción y conciliación</x:v>
      </x:c>
      <x:c r="F16" s="52" t="str">
        <x:v>CP-12</x:v>
      </x:c>
      <x:c r="G16" s="52" t="str">
        <x:v>Pendiente de implementación</x:v>
      </x:c>
      <x:c r="H16" s="52" t="str">
        <x:v>ADR-001; requerimientos.md; matriz</x:v>
      </x:c>
      <x:c r="I16" s="52" t="str">
        <x:v>Parcial: falta código y ejecución</x:v>
      </x:c>
    </x:row>
    <x:row r="17" ht="55" customHeight="1">
      <x:c r="A17" s="52" t="str">
        <x:v>RF-13</x:v>
      </x:c>
      <x:c r="B17" s="52" t="str">
        <x:v>Integrar caudalímetro</x:v>
      </x:c>
      <x:c r="C17" s="52" t="str">
        <x:v>RN-24</x:v>
      </x:c>
      <x:c r="D17" s="52" t="str">
        <x:v>Won't</x:v>
      </x:c>
      <x:c r="E17" s="52" t="str">
        <x:v>Adaptadores de dispositivos</x:v>
      </x:c>
      <x:c r="F17" s="52" t="str">
        <x:v>Sin caso específico</x:v>
      </x:c>
      <x:c r="G17" s="52" t="str">
        <x:v>Pendiente de implementación</x:v>
      </x:c>
      <x:c r="H17" s="52" t="str">
        <x:v>ADR-001; requerimientos.md; matriz</x:v>
      </x:c>
      <x:c r="I17" s="52" t="str">
        <x:v>Parcial: falta caso, código y ejecución</x:v>
      </x:c>
    </x:row>
    <x:row r="18" ht="55" customHeight="1">
      <x:c r="A18" s="52" t="str">
        <x:v>RF-14</x:v>
      </x:c>
      <x:c r="B18" s="52" t="str">
        <x:v>Registrar análisis de calidad</x:v>
      </x:c>
      <x:c r="C18" s="52" t="str">
        <x:v>RN-08, RN-09</x:v>
      </x:c>
      <x:c r="D18" s="52" t="str">
        <x:v>Must</x:v>
      </x:c>
      <x:c r="E18" s="52" t="str">
        <x:v>Control de calidad</x:v>
      </x:c>
      <x:c r="F18" s="52" t="str">
        <x:v>CP-13</x:v>
      </x:c>
      <x:c r="G18" s="52" t="str">
        <x:v>Pendiente de implementación</x:v>
      </x:c>
      <x:c r="H18" s="52" t="str">
        <x:v>ADR-001; requerimientos.md; matriz</x:v>
      </x:c>
      <x:c r="I18" s="52" t="str">
        <x:v>Parcial: falta código y ejecución</x:v>
      </x:c>
    </x:row>
    <x:row r="19" ht="55" customHeight="1">
      <x:c r="A19" s="52" t="str">
        <x:v>RF-15</x:v>
      </x:c>
      <x:c r="B19" s="52" t="str">
        <x:v>Entregar resultado de calidad</x:v>
      </x:c>
      <x:c r="C19" s="52" t="str">
        <x:v>RN-08, RN-17</x:v>
      </x:c>
      <x:c r="D19" s="52" t="str">
        <x:v>Must</x:v>
      </x:c>
      <x:c r="E19" s="52" t="str">
        <x:v>Control de calidad</x:v>
      </x:c>
      <x:c r="F19" s="52" t="str">
        <x:v>CP-17</x:v>
      </x:c>
      <x:c r="G19" s="52" t="str">
        <x:v>Pendiente de implementación</x:v>
      </x:c>
      <x:c r="H19" s="52" t="str">
        <x:v>ADR-001; requerimientos.md; matriz</x:v>
      </x:c>
      <x:c r="I19" s="52" t="str">
        <x:v>Parcial: falta código y ejecución</x:v>
      </x:c>
    </x:row>
    <x:row r="20" ht="55" customHeight="1">
      <x:c r="A20" s="52" t="str">
        <x:v>RF-16</x:v>
      </x:c>
      <x:c r="B20" s="52" t="str">
        <x:v>Clasificar resultado de calidad</x:v>
      </x:c>
      <x:c r="C20" s="52" t="str">
        <x:v>RN-09, RN-10, RN-11</x:v>
      </x:c>
      <x:c r="D20" s="52" t="str">
        <x:v>Must</x:v>
      </x:c>
      <x:c r="E20" s="52" t="str">
        <x:v>Control de calidad</x:v>
      </x:c>
      <x:c r="F20" s="52" t="str">
        <x:v>CP-14</x:v>
      </x:c>
      <x:c r="G20" s="52" t="str">
        <x:v>Pendiente de implementación</x:v>
      </x:c>
      <x:c r="H20" s="52" t="str">
        <x:v>ADR-001; requerimientos.md; matriz</x:v>
      </x:c>
      <x:c r="I20" s="52" t="str">
        <x:v>Parcial: falta código y ejecución</x:v>
      </x:c>
    </x:row>
    <x:row r="21" ht="55" customHeight="1">
      <x:c r="A21" s="52" t="str">
        <x:v>RF-17</x:v>
      </x:c>
      <x:c r="B21" s="52" t="str">
        <x:v>Registrar incidencia de calidad</x:v>
      </x:c>
      <x:c r="C21" s="52" t="str">
        <x:v>RN-10, RN-11, RN-26</x:v>
      </x:c>
      <x:c r="D21" s="52" t="str">
        <x:v>Must</x:v>
      </x:c>
      <x:c r="E21" s="52" t="str">
        <x:v>Control de calidad</x:v>
      </x:c>
      <x:c r="F21" s="52" t="str">
        <x:v>CP-15, CP-16</x:v>
      </x:c>
      <x:c r="G21" s="52" t="str">
        <x:v>Pendiente de implementación</x:v>
      </x:c>
      <x:c r="H21" s="52" t="str">
        <x:v>ADR-001; requerimientos.md; matriz</x:v>
      </x:c>
      <x:c r="I21" s="52" t="str">
        <x:v>Parcial: falta código y ejecución</x:v>
      </x:c>
    </x:row>
    <x:row r="22" ht="55" customHeight="1">
      <x:c r="A22" s="52" t="str">
        <x:v>RF-18</x:v>
      </x:c>
      <x:c r="B22" s="52" t="str">
        <x:v>Registrar medida aplicada</x:v>
      </x:c>
      <x:c r="C22" s="52" t="str">
        <x:v>RN-11, RN-26</x:v>
      </x:c>
      <x:c r="D22" s="52" t="str">
        <x:v>Should</x:v>
      </x:c>
      <x:c r="E22" s="52" t="str">
        <x:v>Control de calidad</x:v>
      </x:c>
      <x:c r="F22" s="52" t="str">
        <x:v>CP-15, CP-22</x:v>
      </x:c>
      <x:c r="G22" s="52" t="str">
        <x:v>Pendiente de implementación</x:v>
      </x:c>
      <x:c r="H22" s="52" t="str">
        <x:v>ADR-001; requerimientos.md; matriz</x:v>
      </x:c>
      <x:c r="I22" s="52" t="str">
        <x:v>Parcial: falta código y ejecución</x:v>
      </x:c>
    </x:row>
    <x:row r="23" ht="55" customHeight="1">
      <x:c r="A23" s="52" t="str">
        <x:v>RF-19</x:v>
      </x:c>
      <x:c r="B23" s="52" t="str">
        <x:v>Registrar seguimiento técnico</x:v>
      </x:c>
      <x:c r="C23" s="52" t="str">
        <x:v>RN-19, RN-26</x:v>
      </x:c>
      <x:c r="D23" s="52" t="str">
        <x:v>Should</x:v>
      </x:c>
      <x:c r="E23" s="52" t="str">
        <x:v>Capacitación y seguimiento</x:v>
      </x:c>
      <x:c r="F23" s="52" t="str">
        <x:v>CP-16</x:v>
      </x:c>
      <x:c r="G23" s="52" t="str">
        <x:v>Pendiente de implementación</x:v>
      </x:c>
      <x:c r="H23" s="52" t="str">
        <x:v>ADR-001; requerimientos.md; matriz</x:v>
      </x:c>
      <x:c r="I23" s="52" t="str">
        <x:v>Parcial: falta código y ejecución</x:v>
      </x:c>
    </x:row>
    <x:row r="24" ht="55" customHeight="1">
      <x:c r="A24" s="52" t="str">
        <x:v>RF-20</x:v>
      </x:c>
      <x:c r="B24" s="52" t="str">
        <x:v>Cerrar semana de acopio</x:v>
      </x:c>
      <x:c r="C24" s="52" t="str">
        <x:v>RN-13</x:v>
      </x:c>
      <x:c r="D24" s="52" t="str">
        <x:v>Must</x:v>
      </x:c>
      <x:c r="E24" s="52" t="str">
        <x:v>Liquidaciones</x:v>
      </x:c>
      <x:c r="F24" s="52" t="str">
        <x:v>CP-18, CP-19</x:v>
      </x:c>
      <x:c r="G24" s="52" t="str">
        <x:v>Pendiente de implementación</x:v>
      </x:c>
      <x:c r="H24" s="52" t="str">
        <x:v>ADR-001; requerimientos.md; matriz</x:v>
      </x:c>
      <x:c r="I24" s="52" t="str">
        <x:v>Parcial: falta código y ejecución</x:v>
      </x:c>
    </x:row>
    <x:row r="25" ht="55" customHeight="1">
      <x:c r="A25" s="52" t="str">
        <x:v>RF-21</x:v>
      </x:c>
      <x:c r="B25" s="52" t="str">
        <x:v>Administrar precio de leche</x:v>
      </x:c>
      <x:c r="C25" s="52" t="str">
        <x:v>RN-16</x:v>
      </x:c>
      <x:c r="D25" s="52" t="str">
        <x:v>Must</x:v>
      </x:c>
      <x:c r="E25" s="52" t="str">
        <x:v>Liquidaciones</x:v>
      </x:c>
      <x:c r="F25" s="52" t="str">
        <x:v>CP-20</x:v>
      </x:c>
      <x:c r="G25" s="52" t="str">
        <x:v>Pendiente de implementación</x:v>
      </x:c>
      <x:c r="H25" s="52" t="str">
        <x:v>ADR-001; requerimientos.md; matriz</x:v>
      </x:c>
      <x:c r="I25" s="52" t="str">
        <x:v>Parcial: falta código y ejecución</x:v>
      </x:c>
    </x:row>
    <x:row r="26" ht="55" customHeight="1">
      <x:c r="A26" s="52" t="str">
        <x:v>RF-22</x:v>
      </x:c>
      <x:c r="B26" s="52" t="str">
        <x:v>Calcular liquidación semanal</x:v>
      </x:c>
      <x:c r="C26" s="52" t="str">
        <x:v>RN-13, RN-15, RN-16</x:v>
      </x:c>
      <x:c r="D26" s="52" t="str">
        <x:v>Must</x:v>
      </x:c>
      <x:c r="E26" s="52" t="str">
        <x:v>Liquidaciones</x:v>
      </x:c>
      <x:c r="F26" s="52" t="str">
        <x:v>CP-21, CP-22</x:v>
      </x:c>
      <x:c r="G26" s="52" t="str">
        <x:v>Pendiente de implementación</x:v>
      </x:c>
      <x:c r="H26" s="52" t="str">
        <x:v>ADR-001; requerimientos.md; matriz</x:v>
      </x:c>
      <x:c r="I26" s="52" t="str">
        <x:v>Parcial: falta código y ejecución</x:v>
      </x:c>
    </x:row>
    <x:row r="27" ht="55" customHeight="1">
      <x:c r="A27" s="52" t="str">
        <x:v>RF-23</x:v>
      </x:c>
      <x:c r="B27" s="52" t="str">
        <x:v>Generar sobre de pago</x:v>
      </x:c>
      <x:c r="C27" s="52" t="str">
        <x:v>RN-15</x:v>
      </x:c>
      <x:c r="D27" s="52" t="str">
        <x:v>Must</x:v>
      </x:c>
      <x:c r="E27" s="52" t="str">
        <x:v>Liquidaciones</x:v>
      </x:c>
      <x:c r="F27" s="52" t="str">
        <x:v>CP-23</x:v>
      </x:c>
      <x:c r="G27" s="52" t="str">
        <x:v>Pendiente de implementación</x:v>
      </x:c>
      <x:c r="H27" s="52" t="str">
        <x:v>ADR-001; requerimientos.md; matriz</x:v>
      </x:c>
      <x:c r="I27" s="52" t="str">
        <x:v>Parcial: falta código y ejecución</x:v>
      </x:c>
    </x:row>
    <x:row r="28" ht="55" customHeight="1">
      <x:c r="A28" s="52" t="str">
        <x:v>RF-24</x:v>
      </x:c>
      <x:c r="B28" s="52" t="str">
        <x:v>Registrar pago</x:v>
      </x:c>
      <x:c r="C28" s="52" t="str">
        <x:v>RN-14</x:v>
      </x:c>
      <x:c r="D28" s="52" t="str">
        <x:v>Should</x:v>
      </x:c>
      <x:c r="E28" s="52" t="str">
        <x:v>Pagos</x:v>
      </x:c>
      <x:c r="F28" s="52" t="str">
        <x:v>CP-24</x:v>
      </x:c>
      <x:c r="G28" s="52" t="str">
        <x:v>Pendiente de implementación</x:v>
      </x:c>
      <x:c r="H28" s="52" t="str">
        <x:v>ADR-001; requerimientos.md; matriz</x:v>
      </x:c>
      <x:c r="I28" s="52" t="str">
        <x:v>Parcial: falta código y ejecución</x:v>
      </x:c>
    </x:row>
    <x:row r="29" ht="55" customHeight="1">
      <x:c r="A29" s="52" t="str">
        <x:v>RF-25</x:v>
      </x:c>
      <x:c r="B29" s="52" t="str">
        <x:v>Informar al proveedor</x:v>
      </x:c>
      <x:c r="C29" s="52" t="str">
        <x:v>RN-17, RN-18, RN-23</x:v>
      </x:c>
      <x:c r="D29" s="52" t="str">
        <x:v>Must</x:v>
      </x:c>
      <x:c r="E29" s="52" t="str">
        <x:v>Comunicaciones</x:v>
      </x:c>
      <x:c r="F29" s="52" t="str">
        <x:v>CP-17, CP-25, CP-26</x:v>
      </x:c>
      <x:c r="G29" s="52" t="str">
        <x:v>Pendiente de implementación</x:v>
      </x:c>
      <x:c r="H29" s="52" t="str">
        <x:v>ADR-001; requerimientos.md; matriz</x:v>
      </x:c>
      <x:c r="I29" s="52" t="str">
        <x:v>Parcial: falta código y ejecución</x:v>
      </x:c>
    </x:row>
    <x:row r="30" ht="55" customHeight="1">
      <x:c r="A30" s="52" t="str">
        <x:v>RF-26</x:v>
      </x:c>
      <x:c r="B30" s="52" t="str">
        <x:v>Gestionar comunicados y eventos</x:v>
      </x:c>
      <x:c r="C30" s="52" t="str">
        <x:v>RN-19</x:v>
      </x:c>
      <x:c r="D30" s="52" t="str">
        <x:v>Should</x:v>
      </x:c>
      <x:c r="E30" s="52" t="str">
        <x:v>Comunicaciones y eventos</x:v>
      </x:c>
      <x:c r="F30" s="52" t="str">
        <x:v>CP-27</x:v>
      </x:c>
      <x:c r="G30" s="52" t="str">
        <x:v>Pendiente de implementación</x:v>
      </x:c>
      <x:c r="H30" s="52" t="str">
        <x:v>ADR-001; requerimientos.md; matriz</x:v>
      </x:c>
      <x:c r="I30" s="52" t="str">
        <x:v>Parcial: falta código y ejecución</x:v>
      </x:c>
    </x:row>
    <x:row r="31" ht="55" customHeight="1">
      <x:c r="A31" s="52" t="str">
        <x:v>RF-27</x:v>
      </x:c>
      <x:c r="B31" s="52" t="str">
        <x:v>Registrar asistencia</x:v>
      </x:c>
      <x:c r="C31" s="52" t="str">
        <x:v>RN-20</x:v>
      </x:c>
      <x:c r="D31" s="52" t="str">
        <x:v>Should</x:v>
      </x:c>
      <x:c r="E31" s="52" t="str">
        <x:v>Eventos y asistencia</x:v>
      </x:c>
      <x:c r="F31" s="52" t="str">
        <x:v>CP-28</x:v>
      </x:c>
      <x:c r="G31" s="52" t="str">
        <x:v>Pendiente de implementación</x:v>
      </x:c>
      <x:c r="H31" s="52" t="str">
        <x:v>ADR-001; requerimientos.md; matriz</x:v>
      </x:c>
      <x:c r="I31" s="52" t="str">
        <x:v>Parcial: falta código y ejecución</x:v>
      </x:c>
    </x:row>
    <x:row r="32" ht="55" customHeight="1">
      <x:c r="A32" s="52" t="str">
        <x:v>RF-28</x:v>
      </x:c>
      <x:c r="B32" s="52" t="str">
        <x:v>Registrar lote de producción</x:v>
      </x:c>
      <x:c r="C32" s="52" t="str">
        <x:v>RN-21</x:v>
      </x:c>
      <x:c r="D32" s="52" t="str">
        <x:v>Should</x:v>
      </x:c>
      <x:c r="E32" s="52" t="str">
        <x:v>Producción</x:v>
      </x:c>
      <x:c r="F32" s="52" t="str">
        <x:v>CP-29</x:v>
      </x:c>
      <x:c r="G32" s="52" t="str">
        <x:v>Pendiente de implementación</x:v>
      </x:c>
      <x:c r="H32" s="52" t="str">
        <x:v>ADR-001; requerimientos.md; matriz</x:v>
      </x:c>
      <x:c r="I32" s="52" t="str">
        <x:v>Parcial: falta código y ejecución</x:v>
      </x:c>
    </x:row>
    <x:row r="33" ht="55" customHeight="1">
      <x:c r="A33" s="52" t="str">
        <x:v>RF-29</x:v>
      </x:c>
      <x:c r="B33" s="52" t="str">
        <x:v>Calcular rendimiento</x:v>
      </x:c>
      <x:c r="C33" s="52" t="str">
        <x:v>RN-21</x:v>
      </x:c>
      <x:c r="D33" s="52" t="str">
        <x:v>Should</x:v>
      </x:c>
      <x:c r="E33" s="52" t="str">
        <x:v>Producción</x:v>
      </x:c>
      <x:c r="F33" s="52" t="str">
        <x:v>CP-29</x:v>
      </x:c>
      <x:c r="G33" s="52" t="str">
        <x:v>Pendiente de implementación</x:v>
      </x:c>
      <x:c r="H33" s="52" t="str">
        <x:v>ADR-001; requerimientos.md; matriz</x:v>
      </x:c>
      <x:c r="I33" s="52" t="str">
        <x:v>Parcial: falta código y ejecución</x:v>
      </x:c>
    </x:row>
    <x:row r="34" ht="55" customHeight="1">
      <x:c r="A34" s="52" t="str">
        <x:v>RF-30</x:v>
      </x:c>
      <x:c r="B34" s="52" t="str">
        <x:v>Administrar productos, clientes y precios</x:v>
      </x:c>
      <x:c r="C34" s="52" t="str">
        <x:v>RN-22</x:v>
      </x:c>
      <x:c r="D34" s="52" t="str">
        <x:v>Should</x:v>
      </x:c>
      <x:c r="E34" s="52" t="str">
        <x:v>Ventas</x:v>
      </x:c>
      <x:c r="F34" s="52" t="str">
        <x:v>CP-30</x:v>
      </x:c>
      <x:c r="G34" s="52" t="str">
        <x:v>Pendiente de implementación</x:v>
      </x:c>
      <x:c r="H34" s="52" t="str">
        <x:v>ADR-001; requerimientos.md; matriz</x:v>
      </x:c>
      <x:c r="I34" s="52" t="str">
        <x:v>Parcial: falta código y ejecución</x:v>
      </x:c>
    </x:row>
    <x:row r="35" ht="55" customHeight="1">
      <x:c r="A35" s="52" t="str">
        <x:v>RF-31</x:v>
      </x:c>
      <x:c r="B35" s="52" t="str">
        <x:v>Registrar venta de queso</x:v>
      </x:c>
      <x:c r="C35" s="52" t="str">
        <x:v>F1 TW-V2; RN-22</x:v>
      </x:c>
      <x:c r="D35" s="52" t="str">
        <x:v>Should</x:v>
      </x:c>
      <x:c r="E35" s="52" t="str">
        <x:v>Ventas e inventario</x:v>
      </x:c>
      <x:c r="F35" s="52" t="str">
        <x:v>CP-30</x:v>
      </x:c>
      <x:c r="G35" s="52" t="str">
        <x:v>Pendiente de implementación</x:v>
      </x:c>
      <x:c r="H35" s="52" t="str">
        <x:v>ADR-001; requerimientos.md; matriz</x:v>
      </x:c>
      <x:c r="I35" s="52" t="str">
        <x:v>Parcial: falta código y ejecución</x:v>
      </x:c>
    </x:row>
    <x:row r="36" ht="55" customHeight="1">
      <x:c r="A36" s="52" t="str">
        <x:v>RF-32</x:v>
      </x:c>
      <x:c r="B36" s="52" t="str">
        <x:v>Generar reportes de acopio y calidad</x:v>
      </x:c>
      <x:c r="C36" s="52" t="str">
        <x:v>F1 20:16-37:22; F2 cuellos de botella</x:v>
      </x:c>
      <x:c r="D36" s="52" t="str">
        <x:v>Must</x:v>
      </x:c>
      <x:c r="E36" s="52" t="str">
        <x:v>Reportes</x:v>
      </x:c>
      <x:c r="F36" s="52" t="str">
        <x:v>CP-31</x:v>
      </x:c>
      <x:c r="G36" s="52" t="str">
        <x:v>Pendiente de implementación</x:v>
      </x:c>
      <x:c r="H36" s="52" t="str">
        <x:v>ADR-001; requerimientos.md; matriz</x:v>
      </x:c>
      <x:c r="I36" s="52" t="str">
        <x:v>Parcial: falta código y ejecución</x:v>
      </x:c>
    </x:row>
    <x:row r="37" ht="55" customHeight="1">
      <x:c r="A37" s="52" t="str">
        <x:v>RF-33</x:v>
      </x:c>
      <x:c r="B37" s="52" t="str">
        <x:v>Generar reportes financieros y productivos</x:v>
      </x:c>
      <x:c r="C37" s="52" t="str">
        <x:v>F1 TW-V2; F2 producción/ventas</x:v>
      </x:c>
      <x:c r="D37" s="52" t="str">
        <x:v>Should</x:v>
      </x:c>
      <x:c r="E37" s="52" t="str">
        <x:v>Reportes</x:v>
      </x:c>
      <x:c r="F37" s="52" t="str">
        <x:v>CP-31</x:v>
      </x:c>
      <x:c r="G37" s="52" t="str">
        <x:v>Pendiente de implementación</x:v>
      </x:c>
      <x:c r="H37" s="52" t="str">
        <x:v>ADR-001; requerimientos.md; matriz</x:v>
      </x:c>
      <x:c r="I37" s="52" t="str">
        <x:v>Parcial: falta código y ejecución</x:v>
      </x:c>
    </x:row>
    <x:row r="38" ht="55" customHeight="1">
      <x:c r="A38" s="52" t="str">
        <x:v>RF-34</x:v>
      </x:c>
      <x:c r="B38" s="52" t="str">
        <x:v>Autenticar y autorizar usuarios</x:v>
      </x:c>
      <x:c r="C38" s="52" t="str">
        <x:v>Propuesta técnica necesaria por datos sensibles</x:v>
      </x:c>
      <x:c r="D38" s="52" t="str">
        <x:v>Must</x:v>
      </x:c>
      <x:c r="E38" s="52" t="str">
        <x:v>Identidad y acceso</x:v>
      </x:c>
      <x:c r="F38" s="52" t="str">
        <x:v>CP-32</x:v>
      </x:c>
      <x:c r="G38" s="52" t="str">
        <x:v>Pendiente de implementación</x:v>
      </x:c>
      <x:c r="H38" s="52" t="str">
        <x:v>ADR-001; requerimientos.md; matriz</x:v>
      </x:c>
      <x:c r="I38" s="52" t="str">
        <x:v>Parcial: falta código y ejecución</x:v>
      </x:c>
    </x:row>
    <x:row r="39" ht="55" customHeight="1">
      <x:c r="A39" s="52" t="str">
        <x:v>RF-35</x:v>
      </x:c>
      <x:c r="B39" s="52" t="str">
        <x:v>Auditar cambios críticos</x:v>
      </x:c>
      <x:c r="C39" s="52" t="str">
        <x:v>Necesidad de trazabilidad</x:v>
      </x:c>
      <x:c r="D39" s="52" t="str">
        <x:v>Must</x:v>
      </x:c>
      <x:c r="E39" s="52" t="str">
        <x:v>Auditoría</x:v>
      </x:c>
      <x:c r="F39" s="52" t="str">
        <x:v>CP-12</x:v>
      </x:c>
      <x:c r="G39" s="52" t="str">
        <x:v>Pendiente de implementación</x:v>
      </x:c>
      <x:c r="H39" s="52" t="str">
        <x:v>ADR-001; requerimientos.md; matriz</x:v>
      </x:c>
      <x:c r="I39" s="52" t="str">
        <x:v>Parcial: falta código y ejecución</x:v>
      </x:c>
    </x:row>
    <x:row r="40" ht="55" customHeight="1">
      <x:c r="A40" s="52" t="str">
        <x:v>RF-36</x:v>
      </x:c>
      <x:c r="B40" s="52" t="str">
        <x:v>Configurar parámetros</x:v>
      </x:c>
      <x:c r="C40" s="52" t="str">
        <x:v>RN-09, RN-11, RN-16, RN-21, RN-22</x:v>
      </x:c>
      <x:c r="D40" s="52" t="str">
        <x:v>Should</x:v>
      </x:c>
      <x:c r="E40" s="52" t="str">
        <x:v>Configuración</x:v>
      </x:c>
      <x:c r="F40" s="52" t="str">
        <x:v>Sin caso específico</x:v>
      </x:c>
      <x:c r="G40" s="52" t="str">
        <x:v>Pendiente de implementación</x:v>
      </x:c>
      <x:c r="H40" s="52" t="str">
        <x:v>ADR-001; requerimientos.md; matriz</x:v>
      </x:c>
      <x:c r="I40" s="52" t="str">
        <x:v>Parcial: falta caso, código y ejecución</x:v>
      </x:c>
    </x:row>
    <x:row r="41" ht="55" customHeight="1">
      <x:c r="A41" s="52" t="str">
        <x:v>RNF-01</x:v>
      </x:c>
      <x:c r="B41" s="52" t="str">
        <x:v>Operación offline</x:v>
      </x:c>
      <x:c r="C41" s="52" t="str">
        <x:v>F1 22:35-23:07; F2 señal</x:v>
      </x:c>
      <x:c r="D41" s="52" t="str">
        <x:v>Must</x:v>
      </x:c>
      <x:c r="E41" s="52" t="str">
        <x:v>Aplicación móvil / Sincronización</x:v>
      </x:c>
      <x:c r="F41" s="52" t="str">
        <x:v>CP-07</x:v>
      </x:c>
      <x:c r="G41" s="52" t="str">
        <x:v>Pendiente de implementación</x:v>
      </x:c>
      <x:c r="H41" s="52" t="str">
        <x:v>ADR-001; requerimientos.md; matriz</x:v>
      </x:c>
      <x:c r="I41" s="52" t="str">
        <x:v>Parcial: falta código y ejecución</x:v>
      </x:c>
    </x:row>
    <x:row r="42" ht="55" customHeight="1">
      <x:c r="A42" s="52" t="str">
        <x:v>RNF-02</x:v>
      </x:c>
      <x:c r="B42" s="52" t="str">
        <x:v>Integridad de sincronización</x:v>
      </x:c>
      <x:c r="C42" s="52" t="str">
        <x:v>Necesidad derivada de offline</x:v>
      </x:c>
      <x:c r="D42" s="52" t="str">
        <x:v>Must</x:v>
      </x:c>
      <x:c r="E42" s="52" t="str">
        <x:v>Sincronización</x:v>
      </x:c>
      <x:c r="F42" s="52" t="str">
        <x:v>CP-05, CP-08, CP-09</x:v>
      </x:c>
      <x:c r="G42" s="52" t="str">
        <x:v>Pendiente de implementación</x:v>
      </x:c>
      <x:c r="H42" s="52" t="str">
        <x:v>ADR-001; requerimientos.md; matriz</x:v>
      </x:c>
      <x:c r="I42" s="52" t="str">
        <x:v>Parcial: falta código y ejecución</x:v>
      </x:c>
    </x:row>
    <x:row r="43" ht="55" customHeight="1">
      <x:c r="A43" s="52" t="str">
        <x:v>RNF-03</x:v>
      </x:c>
      <x:c r="B43" s="52" t="str">
        <x:v>Seguridad de acceso</x:v>
      </x:c>
      <x:c r="C43" s="52" t="str">
        <x:v>Datos personales, financieros y operativos</x:v>
      </x:c>
      <x:c r="D43" s="52" t="str">
        <x:v>Must</x:v>
      </x:c>
      <x:c r="E43" s="52" t="str">
        <x:v>Identidad y acceso</x:v>
      </x:c>
      <x:c r="F43" s="52" t="str">
        <x:v>CP-32</x:v>
      </x:c>
      <x:c r="G43" s="52" t="str">
        <x:v>Pendiente de implementación</x:v>
      </x:c>
      <x:c r="H43" s="52" t="str">
        <x:v>ADR-001; requerimientos.md; matriz</x:v>
      </x:c>
      <x:c r="I43" s="52" t="str">
        <x:v>Parcial: falta código y ejecución</x:v>
      </x:c>
    </x:row>
    <x:row r="44" ht="55" customHeight="1">
      <x:c r="A44" s="52" t="str">
        <x:v>RNF-04</x:v>
      </x:c>
      <x:c r="B44" s="52" t="str">
        <x:v>Privacidad de datos</x:v>
      </x:c>
      <x:c r="C44" s="52" t="str">
        <x:v>F1/F2 datos de proveedor y pagos</x:v>
      </x:c>
      <x:c r="D44" s="52" t="str">
        <x:v>Must</x:v>
      </x:c>
      <x:c r="E44" s="52" t="str">
        <x:v>Transversal</x:v>
      </x:c>
      <x:c r="F44" s="52" t="str">
        <x:v>CP-17, CP-23, CP-33</x:v>
      </x:c>
      <x:c r="G44" s="52" t="str">
        <x:v>Pendiente de implementación</x:v>
      </x:c>
      <x:c r="H44" s="52" t="str">
        <x:v>ADR-001; requerimientos.md; matriz</x:v>
      </x:c>
      <x:c r="I44" s="52" t="str">
        <x:v>Parcial: falta código y ejecución</x:v>
      </x:c>
    </x:row>
    <x:row r="45" ht="55" customHeight="1">
      <x:c r="A45" s="52" t="str">
        <x:v>RNF-05</x:v>
      </x:c>
      <x:c r="B45" s="52" t="str">
        <x:v>Auditabilidad</x:v>
      </x:c>
      <x:c r="C45" s="52" t="str">
        <x:v>Necesidad derivada de reclamos y correcciones</x:v>
      </x:c>
      <x:c r="D45" s="52" t="str">
        <x:v>Should</x:v>
      </x:c>
      <x:c r="E45" s="52" t="str">
        <x:v>Auditoría</x:v>
      </x:c>
      <x:c r="F45" s="52" t="str">
        <x:v>CP-12</x:v>
      </x:c>
      <x:c r="G45" s="52" t="str">
        <x:v>Pendiente de implementación</x:v>
      </x:c>
      <x:c r="H45" s="52" t="str">
        <x:v>ADR-001; requerimientos.md; matriz</x:v>
      </x:c>
      <x:c r="I45" s="52" t="str">
        <x:v>Parcial: falta código y ejecución</x:v>
      </x:c>
    </x:row>
    <x:row r="46" ht="55" customHeight="1">
      <x:c r="A46" s="52" t="str">
        <x:v>RNF-06</x:v>
      </x:c>
      <x:c r="B46" s="52" t="str">
        <x:v>Usabilidad en campo</x:v>
      </x:c>
      <x:c r="C46" s="52" t="str">
        <x:v>F2 cuellos de botella en ruta</x:v>
      </x:c>
      <x:c r="D46" s="52" t="str">
        <x:v>Should</x:v>
      </x:c>
      <x:c r="E46" s="52" t="str">
        <x:v>Aplicación móvil</x:v>
      </x:c>
      <x:c r="F46" s="52" t="str">
        <x:v>Sin caso específico</x:v>
      </x:c>
      <x:c r="G46" s="52" t="str">
        <x:v>Pendiente de implementación</x:v>
      </x:c>
      <x:c r="H46" s="52" t="str">
        <x:v>ADR-001; requerimientos.md; matriz</x:v>
      </x:c>
      <x:c r="I46" s="52" t="str">
        <x:v>Parcial: falta caso, código y ejecución</x:v>
      </x:c>
    </x:row>
    <x:row r="47" ht="55" customHeight="1">
      <x:c r="A47" s="52" t="str">
        <x:v>RNF-07</x:v>
      </x:c>
      <x:c r="B47" s="52" t="str">
        <x:v>Rendimiento</x:v>
      </x:c>
      <x:c r="C47" s="52" t="str">
        <x:v>Necesidad de operación en tiempo real</x:v>
      </x:c>
      <x:c r="D47" s="52" t="str">
        <x:v>Should</x:v>
      </x:c>
      <x:c r="E47" s="52" t="str">
        <x:v>Transversal</x:v>
      </x:c>
      <x:c r="F47" s="52" t="str">
        <x:v>Sin caso específico</x:v>
      </x:c>
      <x:c r="G47" s="52" t="str">
        <x:v>Pendiente de implementación</x:v>
      </x:c>
      <x:c r="H47" s="52" t="str">
        <x:v>ADR-001; requerimientos.md; matriz</x:v>
      </x:c>
      <x:c r="I47" s="52" t="str">
        <x:v>Parcial: falta caso, código y ejecución</x:v>
      </x:c>
    </x:row>
    <x:row r="48" ht="55" customHeight="1">
      <x:c r="A48" s="52" t="str">
        <x:v>RNF-08</x:v>
      </x:c>
      <x:c r="B48" s="52" t="str">
        <x:v>Disponibilidad central</x:v>
      </x:c>
      <x:c r="C48" s="52" t="str">
        <x:v>Necesidad de consulta en tiempo real</x:v>
      </x:c>
      <x:c r="D48" s="52" t="str">
        <x:v>Should</x:v>
      </x:c>
      <x:c r="E48" s="52" t="str">
        <x:v>Infraestructura</x:v>
      </x:c>
      <x:c r="F48" s="52" t="str">
        <x:v>Sin caso específico</x:v>
      </x:c>
      <x:c r="G48" s="52" t="str">
        <x:v>Pendiente de implementación</x:v>
      </x:c>
      <x:c r="H48" s="52" t="str">
        <x:v>ADR-001; requerimientos.md; matriz</x:v>
      </x:c>
      <x:c r="I48" s="52" t="str">
        <x:v>Parcial: falta caso, código y ejecución</x:v>
      </x:c>
    </x:row>
    <x:row r="49" ht="55" customHeight="1">
      <x:c r="A49" s="52" t="str">
        <x:v>RNF-09</x:v>
      </x:c>
      <x:c r="B49" s="52" t="str">
        <x:v>Mantenibilidad con Clean Architecture</x:v>
      </x:c>
      <x:c r="C49" s="52" t="str">
        <x:v>Restricción académica</x:v>
      </x:c>
      <x:c r="D49" s="52" t="str">
        <x:v>Must</x:v>
      </x:c>
      <x:c r="E49" s="52" t="str">
        <x:v>Transversal</x:v>
      </x:c>
      <x:c r="F49" s="52" t="str">
        <x:v>CP-34</x:v>
      </x:c>
      <x:c r="G49" s="52" t="str">
        <x:v>Pendiente de implementación</x:v>
      </x:c>
      <x:c r="H49" s="52" t="str">
        <x:v>ADR-001; requerimientos.md; matriz</x:v>
      </x:c>
      <x:c r="I49" s="52" t="str">
        <x:v>Parcial: falta código y ejecución</x:v>
      </x:c>
    </x:row>
    <x:row r="50" ht="55" customHeight="1">
      <x:c r="A50" s="52" t="str">
        <x:v>RNF-10</x:v>
      </x:c>
      <x:c r="B50" s="52" t="str">
        <x:v>Portabilidad de interfaces</x:v>
      </x:c>
      <x:c r="C50" s="52" t="str">
        <x:v>Kotlin + Clean Architecture</x:v>
      </x:c>
      <x:c r="D50" s="52" t="str">
        <x:v>Should</x:v>
      </x:c>
      <x:c r="E50" s="52" t="str">
        <x:v>Transversal</x:v>
      </x:c>
      <x:c r="F50" s="52" t="str">
        <x:v>Sin caso específico</x:v>
      </x:c>
      <x:c r="G50" s="52" t="str">
        <x:v>Pendiente de implementación</x:v>
      </x:c>
      <x:c r="H50" s="52" t="str">
        <x:v>ADR-001; requerimientos.md; matriz</x:v>
      </x:c>
      <x:c r="I50" s="52" t="str">
        <x:v>Parcial: falta caso, código y ejecución</x:v>
      </x:c>
    </x:row>
    <x:row r="51" ht="55" customHeight="1">
      <x:c r="A51" s="52" t="str">
        <x:v>RNF-11</x:v>
      </x:c>
      <x:c r="B51" s="52" t="str">
        <x:v>Respaldo y recuperación</x:v>
      </x:c>
      <x:c r="C51" s="52" t="str">
        <x:v>Riesgo técnico</x:v>
      </x:c>
      <x:c r="D51" s="52" t="str">
        <x:v>Should</x:v>
      </x:c>
      <x:c r="E51" s="52" t="str">
        <x:v>Infraestructura</x:v>
      </x:c>
      <x:c r="F51" s="52" t="str">
        <x:v>Sin caso específico</x:v>
      </x:c>
      <x:c r="G51" s="52" t="str">
        <x:v>Pendiente de implementación</x:v>
      </x:c>
      <x:c r="H51" s="52" t="str">
        <x:v>ADR-001; requerimientos.md; matriz</x:v>
      </x:c>
      <x:c r="I51" s="52" t="str">
        <x:v>Parcial: falta caso, código y ejecución</x:v>
      </x:c>
    </x:row>
    <x:row r="52" ht="55" customHeight="1">
      <x:c r="A52" s="52" t="str">
        <x:v>RNF-12</x:v>
      </x:c>
      <x:c r="B52" s="52" t="str">
        <x:v>Interoperabilidad con equipos</x:v>
      </x:c>
      <x:c r="C52" s="52" t="str">
        <x:v>F1/F2 equipos; RN-24</x:v>
      </x:c>
      <x:c r="D52" s="52" t="str">
        <x:v>Could</x:v>
      </x:c>
      <x:c r="E52" s="52" t="str">
        <x:v>Adaptadores de dispositivos</x:v>
      </x:c>
      <x:c r="F52" s="52" t="str">
        <x:v>CP-34</x:v>
      </x:c>
      <x:c r="G52" s="52" t="str">
        <x:v>Pendiente de implementación</x:v>
      </x:c>
      <x:c r="H52" s="52" t="str">
        <x:v>ADR-001; requerimientos.md; matriz</x:v>
      </x:c>
      <x:c r="I52" s="52" t="str">
        <x:v>Parcial: falta código y ejecución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18ee74489de47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52" hidden="0" customWidth="1"/>
    <x:col min="4" max="4" width="52" hidden="0" customWidth="1"/>
    <x:col min="5" max="5" width="14" hidden="0" customWidth="1"/>
    <x:col min="6" max="6" width="58" hidden="0" customWidth="1"/>
  </x:cols>
  <x:sheetData>
    <x:row r="1" ht="30" customHeight="1">
      <x:c r="A1" s="35" t="str">
        <x:v>REGISTRO DE INCERTIDUMBRES</x:v>
      </x:c>
      <x:c r="B1" s="35"/>
      <x:c r="C1" s="35"/>
      <x:c r="D1" s="35"/>
      <x:c r="E1" s="35"/>
      <x:c r="F1" s="35"/>
    </x:row>
    <x:row r="2" ht="34" customHeight="1">
      <x:c r="A2" s="38" t="str">
        <x:v>Los vacíos no detienen el trabajo, pero ninguna decisión asociada se considera confirmada.</x:v>
      </x:c>
      <x:c r="B2" s="38"/>
      <x:c r="C2" s="38"/>
      <x:c r="D2" s="38"/>
      <x:c r="E2" s="38"/>
      <x:c r="F2" s="38"/>
    </x:row>
    <x:row r="4" ht="34" customHeight="1">
      <x:c r="A4" s="50" t="str">
        <x:v>ID</x:v>
      </x:c>
      <x:c r="B4" s="50" t="str">
        <x:v>Tema</x:v>
      </x:c>
      <x:c r="C4" s="50" t="str">
        <x:v>Lo que sabemos</x:v>
      </x:c>
      <x:c r="D4" s="50" t="str">
        <x:v>Lo que falta conocer</x:v>
      </x:c>
      <x:c r="E4" s="50" t="str">
        <x:v>Impacto</x:v>
      </x:c>
      <x:c r="F4" s="50" t="str">
        <x:v>Pregunta asociada</x:v>
      </x:c>
    </x:row>
    <x:row r="5" ht="68" customHeight="1">
      <x:c r="A5" s="51" t="str">
        <x:v>INC-01</x:v>
      </x:c>
      <x:c r="B5" s="51" t="str">
        <x:v>Proveedores activos</x:v>
      </x:c>
      <x:c r="C5" s="51" t="str">
        <x:v>Se mencionan aproximadamente 500 y 390.</x:v>
      </x:c>
      <x:c r="D5" s="51" t="str">
        <x:v>Cantidad actual, activos/inactivos y padrón oficial.</x:v>
      </x:c>
      <x:c r="E5" s="51" t="str">
        <x:v>Alto</x:v>
      </x:c>
      <x:c r="F5" s="51" t="str">
        <x:v>¿Cuántos proveedores activos tiene hoy la planta y podemos revisar el padrón oficial?</x:v>
      </x:c>
    </x:row>
    <x:row r="6" ht="68" customHeight="1">
      <x:c r="A6" s="52" t="str">
        <x:v>INC-02</x:v>
      </x:c>
      <x:c r="B6" s="52" t="str">
        <x:v>Volumen diario</x:v>
      </x:c>
      <x:c r="C6" s="52" t="str">
        <x:v>Se escuchan 11 500 y 12 500 litros/día.</x:v>
      </x:c>
      <x:c r="D6" s="52" t="str">
        <x:v>Promedio, pico y temporada de cada cifra.</x:v>
      </x:c>
      <x:c r="E6" s="52" t="str">
        <x:v>Alto</x:v>
      </x:c>
      <x:c r="F6" s="52" t="str">
        <x:v>¿Cuántos litros reciben en un día normal y cuál es el máximo en temporada alta?</x:v>
      </x:c>
    </x:row>
    <x:row r="7" ht="68" customHeight="1">
      <x:c r="A7" s="52" t="str">
        <x:v>INC-03</x:v>
      </x:c>
      <x:c r="B7" s="52" t="str">
        <x:v>Vehículos y unidades</x:v>
      </x:c>
      <x:c r="C7" s="52" t="str">
        <x:v>Hay vehículos cerrados y motocarga; las cantidades/capacidades varían.</x:v>
      </x:c>
      <x:c r="D7" s="52" t="str">
        <x:v>Inventario, capacidad, código, conductores y rutas.</x:v>
      </x:c>
      <x:c r="E7" s="52" t="str">
        <x:v>Medio</x:v>
      </x:c>
      <x:c r="F7" s="52" t="str">
        <x:v>¿Qué unidades de acopio tienen hoy, qué capacidad tiene cada una y qué ruta cubre?</x:v>
      </x:c>
    </x:row>
    <x:row r="8" ht="68" customHeight="1">
      <x:c r="A8" s="52" t="str">
        <x:v>INC-04</x:v>
      </x:c>
      <x:c r="B8" s="52" t="str">
        <x:v>Acceso digital del proveedor</x:v>
      </x:c>
      <x:c r="C8" s="52" t="str">
        <x:v>Se quieren mensajes; se estimó 25 % con celular.</x:v>
      </x:c>
      <x:c r="D8" s="52" t="str">
        <x:v>Porcentaje actual, smartphone, datos y canal preferido.</x:v>
      </x:c>
      <x:c r="E8" s="52" t="str">
        <x:v>Crítico</x:v>
      </x:c>
      <x:c r="F8" s="52" t="str">
        <x:v>¿Cuántos proveedores tienen smartphone y qué canal sí revisan: app, WhatsApp, SMS o llamada?</x:v>
      </x:c>
    </x:row>
    <x:row r="9" ht="68" customHeight="1">
      <x:c r="A9" s="52" t="str">
        <x:v>INC-05</x:v>
      </x:c>
      <x:c r="B9" s="52" t="str">
        <x:v>Datos del proveedor</x:v>
      </x:c>
      <x:c r="C9" s="52" t="str">
        <x:v>Nombre, DNI y celular están en planilla.</x:v>
      </x:c>
      <x:c r="D9" s="52" t="str">
        <x:v>Campos obligatorios, códigos, estado, dirección y consentimiento.</x:v>
      </x:c>
      <x:c r="E9" s="52" t="str">
        <x:v>Alto</x:v>
      </x:c>
      <x:c r="F9" s="52" t="str">
        <x:v>¿Qué campos exactos debe tener la ficha del proveedor y cuál lo identifica de forma única?</x:v>
      </x:c>
    </x:row>
    <x:row r="10" ht="68" customHeight="1">
      <x:c r="A10" s="52" t="str">
        <x:v>INC-06</x:v>
      </x:c>
      <x:c r="B10" s="52" t="str">
        <x:v>Zonas y rutas</x:v>
      </x:c>
      <x:c r="C10" s="52" t="str">
        <x:v>Hay cuatro zonas y movilidad estacional.</x:v>
      </x:c>
      <x:c r="D10" s="52" t="str">
        <x:v>Nombres, límites, paradas, reglas de cambio y responsables.</x:v>
      </x:c>
      <x:c r="E10" s="52" t="str">
        <x:v>Alto</x:v>
      </x:c>
      <x:c r="F10" s="52" t="str">
        <x:v>¿Cuáles son las cuatro zonas/rutas y quién autoriza que un proveedor cambie de una a otra?</x:v>
      </x:c>
    </x:row>
    <x:row r="11" ht="68" customHeight="1">
      <x:c r="A11" s="52" t="str">
        <x:v>INC-07</x:v>
      </x:c>
      <x:c r="B11" s="52" t="str">
        <x:v>Medición en campo</x:v>
      </x:c>
      <x:c r="C11" s="52" t="str">
        <x:v>Se registran litros; a veces se estima por tachos.</x:v>
      </x:c>
      <x:c r="D11" s="52" t="str">
        <x:v>Instrumento oficial, unidad, decimales, mínimos/máximos y corrección.</x:v>
      </x:c>
      <x:c r="E11" s="52" t="str">
        <x:v>Crítico</x:v>
      </x:c>
      <x:c r="F11" s="52" t="str">
        <x:v>¿Con qué instrumento se mide la leche y cuántos decimales deben registrarse?</x:v>
      </x:c>
    </x:row>
    <x:row r="12" ht="68" customHeight="1">
      <x:c r="A12" s="52" t="str">
        <x:v>INC-08</x:v>
      </x:c>
      <x:c r="B12" s="52" t="str">
        <x:v>Conciliación</x:v>
      </x:c>
      <x:c r="C12" s="52" t="str">
        <x:v>Se desea comparar campo contra planta.</x:v>
      </x:c>
      <x:c r="D12" s="52" t="str">
        <x:v>Método actual, tolerancia, responsable y acciones ante diferencia.</x:v>
      </x:c>
      <x:c r="E12" s="52" t="str">
        <x:v>Crítico</x:v>
      </x:c>
      <x:c r="F12" s="52" t="str">
        <x:v>¿Qué diferencia entre lo registrado y lo recibido se considera aceptable y quién la resuelve?</x:v>
      </x:c>
    </x:row>
    <x:row r="13" ht="68" customHeight="1">
      <x:c r="A13" s="52" t="str">
        <x:v>INC-09</x:v>
      </x:c>
      <x:c r="B13" s="52" t="str">
        <x:v>Calidad</x:v>
      </x:c>
      <x:c r="C13" s="52" t="str">
        <x:v>Se miden grasa, proteína, lactosa, densidad, temperatura, agua y pH.</x:v>
      </x:c>
      <x:c r="D13" s="52" t="str">
        <x:v>Unidades, rangos, precisión, obligatoriedad, fórmula y equipo/protocolo.</x:v>
      </x:c>
      <x:c r="E13" s="52" t="str">
        <x:v>Crítico</x:v>
      </x:c>
      <x:c r="F13" s="52" t="str">
        <x:v>¿Nos entregan la tabla oficial de parámetros, unidades y rangos aceptables de cada análisis?</x:v>
      </x:c>
    </x:row>
    <x:row r="14" ht="68" customHeight="1">
      <x:c r="A14" s="52" t="str">
        <x:v>INC-10</x:v>
      </x:c>
      <x:c r="B14" s="52" t="str">
        <x:v>Sanciones</x:v>
      </x:c>
      <x:c r="C14" s="52" t="str">
        <x:v>Se menciona umbral 5 %, reincidencia, menor pago, retiro y capacitación.</x:v>
      </x:c>
      <x:c r="D14" s="52" t="str">
        <x:v>Inclusión del 5 %, montos, periodo afectado, aprobador y excepciones.</x:v>
      </x:c>
      <x:c r="E14" s="52" t="str">
        <x:v>Crítico</x:v>
      </x:c>
      <x:c r="F14" s="52" t="str">
        <x:v>¿Cuál es exactamente la medida para cada porcentaje y reincidencia, y quién la aprueba?</x:v>
      </x:c>
    </x:row>
    <x:row r="15" ht="68" customHeight="1">
      <x:c r="A15" s="52" t="str">
        <x:v>INC-11</x:v>
      </x:c>
      <x:c r="B15" s="52" t="str">
        <x:v>Precio de leche</x:v>
      </x:c>
      <x:c r="C15" s="52" t="str">
        <x:v>El precio cambia por temporada/decisión.</x:v>
      </x:c>
      <x:c r="D15" s="52" t="str">
        <x:v>Tipos de precio, fecha efectiva y autorización.</x:v>
      </x:c>
      <x:c r="E15" s="52" t="str">
        <x:v>Crítico</x:v>
      </x:c>
      <x:c r="F15" s="52" t="str">
        <x:v>¿Quién fija el precio por litro, desde qué fecha rige y puede variar por proveedor o calidad?</x:v>
      </x:c>
    </x:row>
    <x:row r="16" ht="68" customHeight="1">
      <x:c r="A16" s="52" t="str">
        <x:v>INC-12</x:v>
      </x:c>
      <x:c r="B16" s="52" t="str">
        <x:v>Liquidación y pago</x:v>
      </x:c>
      <x:c r="C16" s="52" t="str">
        <x:v>Semana jueves-miércoles y pago viernes en sobre.</x:v>
      </x:c>
      <x:c r="D16" s="52" t="str">
        <x:v>Feriados, redondeo, anticipos, descuentos, firma y anulación.</x:v>
      </x:c>
      <x:c r="E16" s="52" t="str">
        <x:v>Alto</x:v>
      </x:c>
      <x:c r="F16" s="52" t="str">
        <x:v>¿Qué fórmula y redondeo usan para el pago y qué hacen si el viernes es feriado o hay una corrección?</x:v>
      </x:c>
    </x:row>
    <x:row r="17" ht="68" customHeight="1">
      <x:c r="A17" s="52" t="str">
        <x:v>INC-13</x:v>
      </x:c>
      <x:c r="B17" s="52" t="str">
        <x:v>Eventos y asistencia</x:v>
      </x:c>
      <x:c r="C17" s="52" t="str">
        <x:v>Hay reuniones generales e individuales y se desea asistencia.</x:v>
      </x:c>
      <x:c r="D17" s="52" t="str">
        <x:v>Tipos, estados, convocados, método y responsables.</x:v>
      </x:c>
      <x:c r="E17" s="52" t="str">
        <x:v>Medio</x:v>
      </x:c>
      <x:c r="F17" s="52" t="str">
        <x:v>¿Cómo quieren registrar asistencia y qué estados necesitan además de asistió/no asistió?</x:v>
      </x:c>
    </x:row>
    <x:row r="18" ht="68" customHeight="1">
      <x:c r="A18" s="52" t="str">
        <x:v>INC-14</x:v>
      </x:c>
      <x:c r="B18" s="52" t="str">
        <x:v>Producción y rendimiento</x:v>
      </x:c>
      <x:c r="C18" s="52" t="str">
        <x:v>Se relacionan litros procesados y quesos obtenidos.</x:v>
      </x:c>
      <x:c r="D18" s="52" t="str">
        <x:v>Productos, unidad/peso, lotes, fórmula y rendimiento esperado.</x:v>
      </x:c>
      <x:c r="E18" s="52" t="str">
        <x:v>Crítico</x:v>
      </x:c>
      <x:c r="F18" s="52" t="str">
        <x:v>¿Qué datos anotan por lote y cómo calculan exactamente el rendimiento de cada tipo de queso?</x:v>
      </x:c>
    </x:row>
    <x:row r="19" ht="68" customHeight="1">
      <x:c r="A19" s="52" t="str">
        <x:v>INC-15</x:v>
      </x:c>
      <x:c r="B19" s="52" t="str">
        <x:v>Ventas y precios</x:v>
      </x:c>
      <x:c r="C19" s="52" t="str">
        <x:v>Hay mayorista, proveedor y público; precios transcritos se contradicen.</x:v>
      </x:c>
      <x:c r="D19" s="52" t="str">
        <x:v>Unidad de venta, lista vigente, descuentos, devolución y stock.</x:v>
      </x:c>
      <x:c r="E19" s="52" t="str">
        <x:v>Crítico</x:v>
      </x:c>
      <x:c r="F19" s="52" t="str">
        <x:v>¿Podemos revisar la lista de precios y el formato actual de ventas por tipo de cliente?</x:v>
      </x:c>
    </x:row>
    <x:row r="20" ht="68" customHeight="1">
      <x:c r="A20" s="52" t="str">
        <x:v>INC-16</x:v>
      </x:c>
      <x:c r="B20" s="52" t="str">
        <x:v>Usuarios y permisos</x:v>
      </x:c>
      <x:c r="C20" s="52" t="str">
        <x:v>Varios puestos intervienen en el proceso.</x:v>
      </x:c>
      <x:c r="D20" s="52" t="str">
        <x:v>Usuarios web/móvil, aprobadores, permisos y recuperación de acceso.</x:v>
      </x:c>
      <x:c r="E20" s="52" t="str">
        <x:v>Crítico</x:v>
      </x:c>
      <x:c r="F20" s="52" t="str">
        <x:v>¿Qué personas usarán el sistema y qué podrá consultar, registrar, corregir o aprobar cada una?</x:v>
      </x:c>
    </x:row>
    <x:row r="21" ht="68" customHeight="1">
      <x:c r="A21" s="52" t="str">
        <x:v>INC-17</x:v>
      </x:c>
      <x:c r="B21" s="52" t="str">
        <x:v>Offline y conflictos</x:v>
      </x:c>
      <x:c r="C21" s="52" t="str">
        <x:v>La señal es inestable y se requiere sincronización.</x:v>
      </x:c>
      <x:c r="D21" s="52" t="str">
        <x:v>Volumen offline, tiempo sin red, datos precargados y resolución de conflictos.</x:v>
      </x:c>
      <x:c r="E21" s="52" t="str">
        <x:v>Crítico</x:v>
      </x:c>
      <x:c r="F21" s="52" t="str">
        <x:v>¿Cuántos días debe funcionar sin Internet y quién decide cuando dos registros entran en conflicto?</x:v>
      </x:c>
    </x:row>
    <x:row r="22" ht="68" customHeight="1">
      <x:c r="A22" s="52" t="str">
        <x:v>INC-18</x:v>
      </x:c>
      <x:c r="B22" s="52" t="str">
        <x:v>Sistemas y migración</x:v>
      </x:c>
      <x:c r="C22" s="52" t="str">
        <x:v>Campo usa planillas y administración tendría datos sistematizados.</x:v>
      </x:c>
      <x:c r="D22" s="52" t="str">
        <x:v>Sistema actual, formatos, propietario, exportación y datos históricos.</x:v>
      </x:c>
      <x:c r="E22" s="52" t="str">
        <x:v>Crítico</x:v>
      </x:c>
      <x:c r="F22" s="52" t="str">
        <x:v>¿Qué sistema o archivos usan hoy y qué información histórica debe migrarse?</x:v>
      </x:c>
    </x:row>
    <x:row r="23" ht="68" customHeight="1">
      <x:c r="A23" s="52" t="str">
        <x:v>INC-19</x:v>
      </x:c>
      <x:c r="B23" s="52" t="str">
        <x:v>Reportes</x:v>
      </x:c>
      <x:c r="C23" s="52" t="str">
        <x:v>Se requieren reportes y datos en tiempo real.</x:v>
      </x:c>
      <x:c r="D23" s="52" t="str">
        <x:v>Columnas, filtros, gráficos, exportación, destinatarios y frecuencia.</x:v>
      </x:c>
      <x:c r="E23" s="52" t="str">
        <x:v>Alto</x:v>
      </x:c>
      <x:c r="F23" s="52" t="str">
        <x:v>¿Qué reportes exactos necesita cada responsable y en qué formato los entrega?</x:v>
      </x:c>
    </x:row>
    <x:row r="24" ht="68" customHeight="1">
      <x:c r="A24" s="52" t="str">
        <x:v>INC-20</x:v>
      </x:c>
      <x:c r="B24" s="52" t="str">
        <x:v>Equipos e impresión</x:v>
      </x:c>
      <x:c r="C24" s="52" t="str">
        <x:v>Existen Lactoscan e impresoras adaptadas; caudalímetro futuro.</x:v>
      </x:c>
      <x:c r="D24" s="52" t="str">
        <x:v>Modelos, protocolos, conexión, driver y formato de impresión.</x:v>
      </x:c>
      <x:c r="E24" s="52" t="str">
        <x:v>Medio</x:v>
      </x:c>
      <x:c r="F24" s="52" t="str">
        <x:v>¿Qué modelo y conexión usan los Lactoscan e impresoras, y pueden facilitarnos una muestra impresa?</x:v>
      </x:c>
    </x:row>
    <x:row r="25" ht="68" customHeight="1">
      <x:c r="A25" s="52" t="str">
        <x:v>INC-21</x:v>
      </x:c>
      <x:c r="B25" s="52" t="str">
        <x:v>Habilitación y aguas residuales</x:v>
      </x:c>
      <x:c r="C25" s="52" t="str">
        <x:v>Se mencionó como problema de la planta/región.</x:v>
      </x:c>
      <x:c r="D25" s="52" t="str">
        <x:v>Si debe formar parte del software y qué datos se registrarían.</x:v>
      </x:c>
      <x:c r="E25" s="52" t="str">
        <x:v>Bajo para v0.1.0</x:v>
      </x:c>
      <x:c r="F25" s="52" t="str">
        <x:v>¿El sistema debe registrar tratamiento de aguas residuales o se mantiene fuera de este proyecto?</x:v>
      </x:c>
    </x:row>
  </x:sheetData>
  <x:mergeCells>
    <x:mergeCell ref="A1:F1"/>
    <x:mergeCell ref="A2:F2"/>
  </x:mergeCells>
  <x:conditionalFormatting sqref="E5:E25">
    <x:cfRule type="containsText" dxfId="6" priority="1" operator="containsText" text="Crítico"/>
  </x:conditionalFormatting>
  <x:pageMargins left="0.7" right="0.7" top="0.75" bottom="0.75" header="0.3" footer="0.3"/>
  <x:tableParts count="1">
    <x:tablePart xmlns:r="http://schemas.openxmlformats.org/officeDocument/2006/relationships" r:id="Rde3d037ff24549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32" hidden="0" customWidth="1"/>
    <x:col min="4" max="4" width="36" hidden="0" customWidth="1"/>
  </x:cols>
  <x:sheetData>
    <x:row r="1" ht="30" customHeight="1">
      <x:c r="A1" s="35" t="str">
        <x:v>COMPONENTES Y CLEAN ARCHITECTURE</x:v>
      </x:c>
      <x:c r="B1" s="35"/>
      <x:c r="C1" s="35"/>
      <x:c r="D1" s="35"/>
    </x:row>
    <x:row r="2" ht="34" customHeight="1">
      <x:c r="A2" s="38" t="str">
        <x:v>Cliente-servidor describe la distribución; Clean Architecture organiza las dependencias internas.</x:v>
      </x:c>
      <x:c r="B2" s="38"/>
      <x:c r="C2" s="38"/>
      <x:c r="D2" s="38"/>
    </x:row>
    <x:row r="4" ht="34" customHeight="1">
      <x:c r="A4" s="50" t="str">
        <x:v>Componente</x:v>
      </x:c>
      <x:c r="B4" s="50" t="str">
        <x:v>Responsabilidad</x:v>
      </x:c>
      <x:c r="C4" s="50" t="str">
        <x:v>Capa / ubicación</x:v>
      </x:c>
      <x:c r="D4" s="50" t="str">
        <x:v>Requisitos</x:v>
      </x:c>
    </x:row>
    <x:row r="5" ht="55" customHeight="1">
      <x:c r="A5" s="51" t="str">
        <x:v>Identidad y acceso</x:v>
      </x:c>
      <x:c r="B5" s="51" t="str">
        <x:v>Autenticación, roles, permisos y sesiones.</x:v>
      </x:c>
      <x:c r="C5" s="51" t="str">
        <x:v>Aplicación + adaptadores</x:v>
      </x:c>
      <x:c r="D5" s="51" t="str">
        <x:v>RF-34; RNF-03, RNF-04</x:v>
      </x:c>
    </x:row>
    <x:row r="6" ht="55" customHeight="1">
      <x:c r="A6" s="52" t="str">
        <x:v>Proveedores y rutas</x:v>
      </x:c>
      <x:c r="B6" s="52" t="str">
        <x:v>Padrón, zonas, rutas, asignaciones e historial.</x:v>
      </x:c>
      <x:c r="C6" s="52" t="str">
        <x:v>Dominio/aplicación</x:v>
      </x:c>
      <x:c r="D6" s="52" t="str">
        <x:v>RF-01 a RF-05</x:v>
      </x:c>
    </x:row>
    <x:row r="7" ht="55" customHeight="1">
      <x:c r="A7" s="52" t="str">
        <x:v>Acopio</x:v>
      </x:c>
      <x:c r="B7" s="52" t="str">
        <x:v>Registro por ruta/directo, planilla y totales.</x:v>
      </x:c>
      <x:c r="C7" s="52" t="str">
        <x:v>Dominio/aplicación + móvil</x:v>
      </x:c>
      <x:c r="D7" s="52" t="str">
        <x:v>RF-06 a RF-09</x:v>
      </x:c>
    </x:row>
    <x:row r="8" ht="55" customHeight="1">
      <x:c r="A8" s="52" t="str">
        <x:v>Recepción y conciliación</x:v>
      </x:c>
      <x:c r="B8" s="52" t="str">
        <x:v>Volumen en planta, diferencia y resolución.</x:v>
      </x:c>
      <x:c r="C8" s="52" t="str">
        <x:v>Dominio/aplicación</x:v>
      </x:c>
      <x:c r="D8" s="52" t="str">
        <x:v>RF-10 a RF-13</x:v>
      </x:c>
    </x:row>
    <x:row r="9" ht="55" customHeight="1">
      <x:c r="A9" s="52" t="str">
        <x:v>Control de calidad</x:v>
      </x:c>
      <x:c r="B9" s="52" t="str">
        <x:v>Análisis, parámetros, clasificación, incidencias y medidas.</x:v>
      </x:c>
      <x:c r="C9" s="52" t="str">
        <x:v>Dominio/aplicación + adaptadores</x:v>
      </x:c>
      <x:c r="D9" s="52" t="str">
        <x:v>RF-14 a RF-19</x:v>
      </x:c>
    </x:row>
    <x:row r="10" ht="55" customHeight="1">
      <x:c r="A10" s="52" t="str">
        <x:v>Liquidaciones y pagos</x:v>
      </x:c>
      <x:c r="B10" s="52" t="str">
        <x:v>Semana, precios, cálculo, sobre y pago.</x:v>
      </x:c>
      <x:c r="C10" s="52" t="str">
        <x:v>Dominio/aplicación</x:v>
      </x:c>
      <x:c r="D10" s="52" t="str">
        <x:v>RF-20 a RF-24</x:v>
      </x:c>
    </x:row>
    <x:row r="11" ht="55" customHeight="1">
      <x:c r="A11" s="52" t="str">
        <x:v>Comunicaciones y eventos</x:v>
      </x:c>
      <x:c r="B11" s="52" t="str">
        <x:v>Avisos, eventos, asistencia y seguimiento.</x:v>
      </x:c>
      <x:c r="C11" s="52" t="str">
        <x:v>Aplicación + adaptadores</x:v>
      </x:c>
      <x:c r="D11" s="52" t="str">
        <x:v>RF-25 a RF-27</x:v>
      </x:c>
    </x:row>
    <x:row r="12" ht="55" customHeight="1">
      <x:c r="A12" s="52" t="str">
        <x:v>Producción</x:v>
      </x:c>
      <x:c r="B12" s="52" t="str">
        <x:v>Lotes, productos y rendimiento.</x:v>
      </x:c>
      <x:c r="C12" s="52" t="str">
        <x:v>Dominio/aplicación</x:v>
      </x:c>
      <x:c r="D12" s="52" t="str">
        <x:v>RF-28, RF-29</x:v>
      </x:c>
    </x:row>
    <x:row r="13" ht="55" customHeight="1">
      <x:c r="A13" s="52" t="str">
        <x:v>Ventas e inventario</x:v>
      </x:c>
      <x:c r="B13" s="52" t="str">
        <x:v>Clientes, precios, existencias, ventas y despacho.</x:v>
      </x:c>
      <x:c r="C13" s="52" t="str">
        <x:v>Dominio/aplicación</x:v>
      </x:c>
      <x:c r="D13" s="52" t="str">
        <x:v>RF-30, RF-31</x:v>
      </x:c>
    </x:row>
    <x:row r="14" ht="55" customHeight="1">
      <x:c r="A14" s="52" t="str">
        <x:v>Reportes</x:v>
      </x:c>
      <x:c r="B14" s="52" t="str">
        <x:v>Consultas consolidadas, filtros e indicadores.</x:v>
      </x:c>
      <x:c r="C14" s="52" t="str">
        <x:v>Aplicación/adaptadores de consulta</x:v>
      </x:c>
      <x:c r="D14" s="52" t="str">
        <x:v>RF-32, RF-33</x:v>
      </x:c>
    </x:row>
    <x:row r="15" ht="55" customHeight="1">
      <x:c r="A15" s="52" t="str">
        <x:v>Sincronización</x:v>
      </x:c>
      <x:c r="B15" s="52" t="str">
        <x:v>Persistencia local, cola, idempotencia y conflictos.</x:v>
      </x:c>
      <x:c r="C15" s="52" t="str">
        <x:v>Aplicación + infraestructura</x:v>
      </x:c>
      <x:c r="D15" s="52" t="str">
        <x:v>RF-08, RF-09; RNF-01, RNF-02</x:v>
      </x:c>
    </x:row>
    <x:row r="16" ht="55" customHeight="1">
      <x:c r="A16" s="52" t="str">
        <x:v>Auditoría y configuración</x:v>
      </x:c>
      <x:c r="B16" s="52" t="str">
        <x:v>Bitácora, catálogos, vigencias y parámetros.</x:v>
      </x:c>
      <x:c r="C16" s="52" t="str">
        <x:v>Transversal mediante puertos</x:v>
      </x:c>
      <x:c r="D16" s="52" t="str">
        <x:v>RF-35, RF-36; RNF-05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d4dfb7a736345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42" hidden="0" customWidth="1"/>
  </x:cols>
  <x:sheetData>
    <x:row r="1" ht="30" customHeight="1">
      <x:c r="A1" s="35" t="str">
        <x:v>DECISIÓN ARQUITECTÓNICA</x:v>
      </x:c>
      <x:c r="B1" s="35"/>
      <x:c r="C1" s="35"/>
    </x:row>
    <x:row r="2" ht="34" customHeight="1">
      <x:c r="A2" s="38" t="str">
        <x:v>Kotlin/Clean Architecture son restricciones; frameworks y hosting no se inventan.</x:v>
      </x:c>
      <x:c r="B2" s="38"/>
      <x:c r="C2" s="38"/>
    </x:row>
    <x:row r="4" ht="34" customHeight="1">
      <x:c r="A4" s="50" t="str">
        <x:v>Elemento</x:v>
      </x:c>
      <x:c r="B4" s="50" t="str">
        <x:v>Responsabilidad / decisión</x:v>
      </x:c>
      <x:c r="C4" s="50" t="str">
        <x:v>Estado / regla</x:v>
      </x:c>
    </x:row>
    <x:row r="5" ht="58" customHeight="1">
      <x:c r="A5" s="51" t="str">
        <x:v>Decisión académica</x:v>
      </x:c>
      <x:c r="B5" s="51" t="str">
        <x:v>Kotlin en todo el proyecto + Clean Architecture en todo el sistema</x:v>
      </x:c>
      <x:c r="C5" s="51" t="str">
        <x:v>Aceptada por equipo/docente</x:v>
      </x:c>
    </x:row>
    <x:row r="6" ht="58" customHeight="1">
      <x:c r="A6" s="52" t="str">
        <x:v>Distribución</x:v>
      </x:c>
      <x:c r="B6" s="52" t="str">
        <x:v>Cliente-servidor con backend monolítico modular</x:v>
      </x:c>
      <x:c r="C6" s="52" t="str">
        <x:v>Propuesta justificada</x:v>
      </x:c>
    </x:row>
    <x:row r="7" ht="58" customHeight="1">
      <x:c r="A7" s="52" t="str">
        <x:v>Dominio</x:v>
      </x:c>
      <x:c r="B7" s="52" t="str">
        <x:v>Entidades, value objects, reglas puras; sin UI/BD/red/frameworks</x:v>
      </x:c>
      <x:c r="C7" s="52" t="str">
        <x:v>Dependencias hacia adentro</x:v>
      </x:c>
    </x:row>
    <x:row r="8" ht="58" customHeight="1">
      <x:c r="A8" s="52" t="str">
        <x:v>Aplicación</x:v>
      </x:c>
      <x:c r="B8" s="52" t="str">
        <x:v>Casos de uso y puertos de entrada/salida</x:v>
      </x:c>
      <x:c r="C8" s="52" t="str">
        <x:v>Depende solo del dominio</x:v>
      </x:c>
    </x:row>
    <x:row r="9" ht="58" customHeight="1">
      <x:c r="A9" s="52" t="str">
        <x:v>Adaptadores</x:v>
      </x:c>
      <x:c r="B9" s="52" t="str">
        <x:v>Controladores, DTO, mapeadores, repositorios, mensajería y dispositivos</x:v>
      </x:c>
      <x:c r="C9" s="52" t="str">
        <x:v>Implementan/traducen puertos</x:v>
      </x:c>
    </x:row>
    <x:row r="10" ht="58" customHeight="1">
      <x:c r="A10" s="52" t="str">
        <x:v>Infraestructura</x:v>
      </x:c>
      <x:c r="B10" s="52" t="str">
        <x:v>Web, móvil, servidor, BD, almacenamiento local, red, impresoras/equipos</x:v>
      </x:c>
      <x:c r="C10" s="52" t="str">
        <x:v>Detalle reemplazable</x:v>
      </x:c>
    </x:row>
    <x:row r="11" ht="58" customHeight="1">
      <x:c r="A11" s="52" t="str">
        <x:v>Offline-first</x:v>
      </x:c>
      <x:c r="B11" s="52" t="str">
        <x:v>Base local + cola + IDs idempotentes + versiones + conflictos visibles</x:v>
      </x:c>
      <x:c r="C11" s="52" t="str">
        <x:v>Exigido por RNF-01/RNF-02</x:v>
      </x:c>
    </x:row>
    <x:row r="12" ht="58" customHeight="1">
      <x:c r="A12" s="52" t="str">
        <x:v>Pendiente</x:v>
      </x:c>
      <x:c r="B12" s="52" t="str">
        <x:v>Frameworks Kotlin, BD, autenticación, canal, hosting, protocolos</x:v>
      </x:c>
      <x:c r="C12" s="52" t="str">
        <x:v>ADR posteriores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ffc35b1aeb247f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6" hidden="0" customWidth="1"/>
    <x:col min="3" max="3" width="16" hidden="0" customWidth="1"/>
    <x:col min="4" max="4" width="24" hidden="0" customWidth="1"/>
    <x:col min="5" max="5" width="62" hidden="0" customWidth="1"/>
  </x:cols>
  <x:sheetData>
    <x:row r="1" ht="30" customHeight="1">
      <x:c r="A1" s="35" t="str">
        <x:v>GESTIÓN DE CONFIGURACIÓN Y LÍNEA BASE</x:v>
      </x:c>
      <x:c r="B1" s="35"/>
      <x:c r="C1" s="35"/>
      <x:c r="D1" s="35"/>
      <x:c r="E1" s="35"/>
    </x:row>
    <x:row r="2" ht="34" customHeight="1">
      <x:c r="A2" s="38" t="str">
        <x:v>v0.1.0 es una línea base documental propuesta. No se creó etiqueta Git ni PR.</x:v>
      </x:c>
      <x:c r="B2" s="38"/>
      <x:c r="C2" s="38"/>
      <x:c r="D2" s="38"/>
      <x:c r="E2" s="38"/>
    </x:row>
    <x:row r="4" ht="34" customHeight="1">
      <x:c r="A4" s="50" t="str">
        <x:v>ID</x:v>
      </x:c>
      <x:c r="B4" s="50" t="str">
        <x:v>Elemento de configuración</x:v>
      </x:c>
      <x:c r="C4" s="50" t="str">
        <x:v>Versión</x:v>
      </x:c>
      <x:c r="D4" s="50" t="str">
        <x:v>Estado</x:v>
      </x:c>
      <x:c r="E4" s="50" t="str">
        <x:v>Contenido</x:v>
      </x:c>
    </x:row>
    <x:row r="5" ht="55" customHeight="1">
      <x:c r="A5" s="51" t="str">
        <x:v>SCI-01</x:v>
      </x:c>
      <x:c r="B5" s="51" t="str">
        <x:v>docs/requerimientos.md</x:v>
      </x:c>
      <x:c r="C5" s="51" t="str">
        <x:v>v0.1.0</x:v>
      </x:c>
      <x:c r="D5" s="51" t="str">
        <x:v>Incluido</x:v>
      </x:c>
      <x:c r="E5" s="51" t="str">
        <x:v>RF, RNF, reglas, alcance y pendientes de esta reconstrucción.</x:v>
      </x:c>
    </x:row>
    <x:row r="6" ht="55" customHeight="1">
      <x:c r="A6" s="52" t="str">
        <x:v>SCI-02</x:v>
      </x:c>
      <x:c r="B6" s="52" t="str">
        <x:v>Ecolactea_Digital_Matriz_Integral_V2.xlsx</x:v>
      </x:c>
      <x:c r="C6" s="52" t="str">
        <x:v>v0.1.0</x:v>
      </x:c>
      <x:c r="D6" s="52" t="str">
        <x:v>Incluido</x:v>
      </x:c>
      <x:c r="E6" s="52" t="str">
        <x:v>Matriz, pruebas, trazabilidad, incertidumbres y checklist.</x:v>
      </x:c>
    </x:row>
    <x:row r="7" ht="55" customHeight="1">
      <x:c r="A7" s="52" t="str">
        <x:v>SCI-03</x:v>
      </x:c>
      <x:c r="B7" s="52" t="str">
        <x:v>docs/adr/ADR-001-estilo-arquitectonico.md</x:v>
      </x:c>
      <x:c r="C7" s="52" t="str">
        <x:v>v0.1.0</x:v>
      </x:c>
      <x:c r="D7" s="52" t="str">
        <x:v>Incluido</x:v>
      </x:c>
      <x:c r="E7" s="52" t="str">
        <x:v>Kotlin, Clean Architecture, cliente-servidor, monolito modular y offline-first.</x:v>
      </x:c>
    </x:row>
    <x:row r="8" ht="55" customHeight="1">
      <x:c r="A8" s="52" t="str">
        <x:v>SCI-04</x:v>
      </x:c>
      <x:c r="B8" s="52" t="str">
        <x:v>docs/plan-pruebas.md</x:v>
      </x:c>
      <x:c r="C8" s="52" t="str">
        <x:v>v0.1.0</x:v>
      </x:c>
      <x:c r="D8" s="52" t="str">
        <x:v>Incluido</x:v>
      </x:c>
      <x:c r="E8" s="52" t="str">
        <x:v>Plan preliminar y 34 casos diseñados/no ejecutados.</x:v>
      </x:c>
    </x:row>
    <x:row r="9" ht="55" customHeight="1">
      <x:c r="A9" s="52" t="str">
        <x:v>SCI-05</x:v>
      </x:c>
      <x:c r="B9" s="52" t="str">
        <x:v>docs/control-cambios/README.md</x:v>
      </x:c>
      <x:c r="C9" s="52" t="str">
        <x:v>v0.1.0</x:v>
      </x:c>
      <x:c r="D9" s="52" t="str">
        <x:v>Incluido</x:v>
      </x:c>
      <x:c r="E9" s="52" t="str">
        <x:v>Procedimiento RFC, impacto, CCB, implementación, verificación y cierre.</x:v>
      </x:c>
    </x:row>
    <x:row r="10" ht="55" customHeight="1">
      <x:c r="A10" s="52" t="str">
        <x:v>SCI-06</x:v>
      </x:c>
      <x:c r="B10" s="52" t="str">
        <x:v>docs/modelos/modelo-dominio.puml</x:v>
      </x:c>
      <x:c r="C10" s="52" t="str">
        <x:v>v0.1.0</x:v>
      </x:c>
      <x:c r="D10" s="52" t="str">
        <x:v>Incluido</x:v>
      </x:c>
      <x:c r="E10" s="52" t="str">
        <x:v>Modelo conceptual de clases; atributos exactos pendientes.</x:v>
      </x:c>
    </x:row>
    <x:row r="11" ht="55" customHeight="1">
      <x:c r="A11" s="52" t="str">
        <x:v>SCI-07</x:v>
      </x:c>
      <x:c r="B11" s="52" t="str">
        <x:v>docs/modelos/casos-de-uso.puml</x:v>
      </x:c>
      <x:c r="C11" s="52" t="str">
        <x:v>v0.1.0</x:v>
      </x:c>
      <x:c r="D11" s="52" t="str">
        <x:v>Incluido</x:v>
      </x:c>
      <x:c r="E11" s="52" t="str">
        <x:v>Actores y casos de uso principales.</x:v>
      </x:c>
    </x:row>
    <x:row r="12" ht="55" customHeight="1">
      <x:c r="A12" s="52" t="str">
        <x:v>SCI-08</x:v>
      </x:c>
      <x:c r="B12" s="52" t="str">
        <x:v>Código fuente Kotlin</x:v>
      </x:c>
      <x:c r="C12" s="52" t="str">
        <x:v>No iniciado</x:v>
      </x:c>
      <x:c r="D12" s="52" t="str">
        <x:v>Excluido de v0.1.0</x:v>
      </x:c>
      <x:c r="E12" s="52" t="str">
        <x:v>Se incluirá cuando existan módulos verificables.</x:v>
      </x:c>
    </x:row>
    <x:row r="13" ht="55" customHeight="1">
      <x:c r="A13" s="52" t="str">
        <x:v>SCI-09</x:v>
      </x:c>
      <x:c r="B13" s="52" t="str">
        <x:v>Migraciones y configuración de BD</x:v>
      </x:c>
      <x:c r="C13" s="52" t="str">
        <x:v>No iniciado</x:v>
      </x:c>
      <x:c r="D13" s="52" t="str">
        <x:v>Excluido de v0.1.0</x:v>
      </x:c>
      <x:c r="E13" s="52" t="str">
        <x:v>Motor y modelo físico pendientes.</x:v>
      </x:c>
    </x:row>
    <x:row r="14" ht="55" customHeight="1">
      <x:c r="A14" s="52" t="str">
        <x:v>SCI-10</x:v>
      </x:c>
      <x:c r="B14" s="52" t="str">
        <x:v>Manual de usuario y despliegue</x:v>
      </x:c>
      <x:c r="C14" s="52" t="str">
        <x:v>No iniciado</x:v>
      </x:c>
      <x:c r="D14" s="52" t="str">
        <x:v>Excluido de v0.1.0</x:v>
      </x:c>
      <x:c r="E14" s="52" t="str">
        <x:v>Se crea después del prototipo funcional.</x:v>
      </x:c>
    </x:row>
    <x:row r="15" ht="55" customHeight="1">
      <x:c r="A15" s="52" t="str">
        <x:v>SCI-11</x:v>
      </x:c>
      <x:c r="B15" s="52" t="str">
        <x:v>Transcripciones F1 y F2</x:v>
      </x:c>
      <x:c r="C15" s="52" t="str">
        <x:v>Original</x:v>
      </x:c>
      <x:c r="D15" s="52" t="str">
        <x:v>Fuente protegida</x:v>
      </x:c>
      <x:c r="E15" s="52" t="str">
        <x:v>No se modifican; evidencia primaria del levantamiento.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01878d03d134a5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44" hidden="0" customWidth="1"/>
    <x:col min="4" max="4" width="64" hidden="0" customWidth="1"/>
  </x:cols>
  <x:sheetData>
    <x:row r="1" ht="30" customHeight="1">
      <x:c r="A1" s="35" t="str">
        <x:v>LISTA DE COTEJO FINAL</x:v>
      </x:c>
      <x:c r="B1" s="35"/>
      <x:c r="C1" s="35"/>
      <x:c r="D1" s="35"/>
    </x:row>
    <x:row r="2" ht="34" customHeight="1">
      <x:c r="A2" s="38" t="str">
        <x:v>COMPLETO significa elaborado; no reemplaza revisión cruzada, ejecución de pruebas ni validación del cliente.</x:v>
      </x:c>
      <x:c r="B2" s="38"/>
      <x:c r="C2" s="38"/>
      <x:c r="D2" s="38"/>
    </x:row>
    <x:row r="4" ht="34" customHeight="1">
      <x:c r="A4" s="50" t="str">
        <x:v>Elemento solicitado</x:v>
      </x:c>
      <x:c r="B4" s="50" t="str">
        <x:v>Estado</x:v>
      </x:c>
      <x:c r="C4" s="50" t="str">
        <x:v>Evidencia / archivo</x:v>
      </x:c>
      <x:c r="D4" s="50" t="str">
        <x:v>Observación</x:v>
      </x:c>
    </x:row>
    <x:row r="5" ht="58" customHeight="1">
      <x:c r="A5" s="51" t="str">
        <x:v>Dos transcripciones comparadas</x:v>
      </x:c>
      <x:c r="B5" s="51" t="str">
        <x:v>COMPLETO</x:v>
      </x:c>
      <x:c r="C5" s="51" t="str">
        <x:v>F1/F2, hoja Fuentes y Comparación</x:v>
      </x:c>
      <x:c r="D5" s="51" t="str">
        <x:v>Errores y contradicciones registrados.</x:v>
      </x:c>
    </x:row>
    <x:row r="6" ht="58" customHeight="1">
      <x:c r="A6" s="52" t="str">
        <x:v>Interesados y actores</x:v>
      </x:c>
      <x:c r="B6" s="52" t="str">
        <x:v>COMPLETO</x:v>
      </x:c>
      <x:c r="C6" s="52" t="str">
        <x:v>INT-01 a INT-12; ACT-01 a ACT-09</x:v>
      </x:c>
      <x:c r="D6" s="52" t="str">
        <x:v>Roles exactos aún deben validarse.</x:v>
      </x:c>
    </x:row>
    <x:row r="7" ht="58" customHeight="1">
      <x:c r="A7" s="52" t="str">
        <x:v>Procesos actuales/objetivo</x:v>
      </x:c>
      <x:c r="B7" s="52" t="str">
        <x:v>COMPLETO</x:v>
      </x:c>
      <x:c r="C7" s="52" t="str">
        <x:v>PR-01 a PR-12</x:v>
      </x:c>
      <x:c r="D7" s="52" t="str">
        <x:v>Se amplió a pagos, producción y ventas.</x:v>
      </x:c>
    </x:row>
    <x:row r="8" ht="58" customHeight="1">
      <x:c r="A8" s="52" t="str">
        <x:v>Reglas de negocio</x:v>
      </x:c>
      <x:c r="B8" s="52" t="str">
        <x:v>COMPLETO</x:v>
      </x:c>
      <x:c r="C8" s="52" t="str">
        <x:v>RN-01 a RN-26</x:v>
      </x:c>
      <x:c r="D8" s="52" t="str">
        <x:v>RN-04, RN-11 y RN-23 siguen pendientes.</x:v>
      </x:c>
    </x:row>
    <x:row r="9" ht="58" customHeight="1">
      <x:c r="A9" s="52" t="str">
        <x:v>Mínimo 15 RF</x:v>
      </x:c>
      <x:c r="B9" s="52" t="str">
        <x:v>COMPLETO</x:v>
      </x:c>
      <x:c r="C9" s="52" t="str">
        <x:v>36 RF</x:v>
      </x:c>
      <x:c r="D9" s="52" t="str">
        <x:v>21 Must; 58.3 % de RF.</x:v>
      </x:c>
    </x:row>
    <x:row r="10" ht="58" customHeight="1">
      <x:c r="A10" s="52" t="str">
        <x:v>Mínimo 6 RNF</x:v>
      </x:c>
      <x:c r="B10" s="52" t="str">
        <x:v>COMPLETO</x:v>
      </x:c>
      <x:c r="C10" s="52" t="str">
        <x:v>12 RNF</x:v>
      </x:c>
      <x:c r="D10" s="52" t="str">
        <x:v>5 Must; 41.7 % de RNF.</x:v>
      </x:c>
    </x:row>
    <x:row r="11" ht="58" customHeight="1">
      <x:c r="A11" s="52" t="str">
        <x:v>MoSCoW Must &lt;= 60 %</x:v>
      </x:c>
      <x:c r="B11" s="52" t="str">
        <x:v>COMPLETO</x:v>
      </x:c>
      <x:c r="C11" s="52" t="str">
        <x:v>26 Must de 48 = 54.2 %</x:v>
      </x:c>
      <x:c r="D11" s="52" t="str">
        <x:v>Prioridad preliminar hasta aprobación del equipo/cliente.</x:v>
      </x:c>
    </x:row>
    <x:row r="12" ht="58" customHeight="1">
      <x:c r="A12" s="52" t="str">
        <x:v>Criterios de aceptación</x:v>
      </x:c>
      <x:c r="B12" s="52" t="str">
        <x:v>COMPLETO</x:v>
      </x:c>
      <x:c r="C12" s="52" t="str">
        <x:v>48 criterios</x:v>
      </x:c>
      <x:c r="D12" s="52" t="str">
        <x:v>Las métricas no confirmadas están marcadas.</x:v>
      </x:c>
    </x:row>
    <x:row r="13" ht="58" customHeight="1">
      <x:c r="A13" s="52" t="str">
        <x:v>Dos RNF arquitectónicamente significativos</x:v>
      </x:c>
      <x:c r="B13" s="52" t="str">
        <x:v>COMPLETO</x:v>
      </x:c>
      <x:c r="C13" s="52" t="str">
        <x:v>RNF-01, RNF-02 y RNF-09</x:v>
      </x:c>
      <x:c r="D13" s="52" t="str">
        <x:v>Offline, integridad y Clean Architecture.</x:v>
      </x:c>
    </x:row>
    <x:row r="14" ht="58" customHeight="1">
      <x:c r="A14" s="52" t="str">
        <x:v>ADR-001</x:v>
      </x:c>
      <x:c r="B14" s="52" t="str">
        <x:v>COMPLETO</x:v>
      </x:c>
      <x:c r="C14" s="52" t="str">
        <x:v>docs/adr/ADR-001-estilo-arquitectonico.md</x:v>
      </x:c>
      <x:c r="D14" s="52" t="str">
        <x:v>Clean/Kotlin aceptados; detalles de framework pendientes.</x:v>
      </x:c>
    </x:row>
    <x:row r="15" ht="58" customHeight="1">
      <x:c r="A15" s="52" t="str">
        <x:v>Plan y mínimo 10 pruebas</x:v>
      </x:c>
      <x:c r="B15" s="52" t="str">
        <x:v>COMPLETO</x:v>
      </x:c>
      <x:c r="C15" s="52" t="str">
        <x:v>34 casos</x:v>
      </x:c>
      <x:c r="D15" s="52" t="str">
        <x:v>Todos diseñados/no ejecutados.</x:v>
      </x:c>
    </x:row>
    <x:row r="16" ht="58" customHeight="1">
      <x:c r="A16" s="52" t="str">
        <x:v>Partición de equivalencia</x:v>
      </x:c>
      <x:c r="B16" s="52" t="str">
        <x:v>COMPLETO</x:v>
      </x:c>
      <x:c r="C16" s="52" t="str">
        <x:v>CP-01, CP-04, CP-10 y otros</x:v>
      </x:c>
      <x:c r="D16" s="52" t="str">
        <x:v>Aplicada con clases válidas e inválidas.</x:v>
      </x:c>
    </x:row>
    <x:row r="17" ht="58" customHeight="1">
      <x:c r="A17" s="52" t="str">
        <x:v>Valores límite</x:v>
      </x:c>
      <x:c r="B17" s="52" t="str">
        <x:v>COMPLETO</x:v>
      </x:c>
      <x:c r="C17" s="52" t="str">
        <x:v>CP-02, CP-04, CP-14, CP-18, CP-20, CP-27, CP-30</x:v>
      </x:c>
      <x:c r="D17" s="52" t="str">
        <x:v>CP-14 bloqueado por regla del 5 %.</x:v>
      </x:c>
    </x:row>
    <x:row r="18" ht="58" customHeight="1">
      <x:c r="A18" s="52" t="str">
        <x:v>Trazabilidad</x:v>
      </x:c>
      <x:c r="B18" s="52" t="str">
        <x:v>COMPLETO</x:v>
      </x:c>
      <x:c r="C18" s="52" t="str">
        <x:v>Origen -&gt; RN -&gt; RF/RNF -&gt; componente -&gt; CP</x:v>
      </x:c>
      <x:c r="D18" s="52" t="str">
        <x:v>Código aún no existe.</x:v>
      </x:c>
    </x:row>
    <x:row r="19" ht="58" customHeight="1">
      <x:c r="A19" s="52" t="str">
        <x:v>Elementos de configuración</x:v>
      </x:c>
      <x:c r="B19" s="52" t="str">
        <x:v>COMPLETO</x:v>
      </x:c>
      <x:c r="C19" s="52" t="str">
        <x:v>SCI-01 a SCI-11</x:v>
      </x:c>
      <x:c r="D19" s="52" t="str">
        <x:v>Diferencia incluido/excluido.</x:v>
      </x:c>
    </x:row>
    <x:row r="20" ht="58" customHeight="1">
      <x:c r="A20" s="52" t="str">
        <x:v>Línea base v0.1.0</x:v>
      </x:c>
      <x:c r="B20" s="52" t="str">
        <x:v>PARCIAL</x:v>
      </x:c>
      <x:c r="C20" s="52" t="str">
        <x:v>Manifiesto preparado</x:v>
      </x:c>
      <x:c r="D20" s="52" t="str">
        <x:v>No se creó etiqueta Git ni aprobación formal.</x:v>
      </x:c>
    </x:row>
    <x:row r="21" ht="58" customHeight="1">
      <x:c r="A21" s="52" t="str">
        <x:v>Control de cambios</x:v>
      </x:c>
      <x:c r="B21" s="52" t="str">
        <x:v>COMPLETO</x:v>
      </x:c>
      <x:c r="C21" s="52" t="str">
        <x:v>docs/control-cambios/README.md</x:v>
      </x:c>
      <x:c r="D21" s="52" t="str">
        <x:v>No se inventaron solicitudes reales.</x:v>
      </x:c>
    </x:row>
    <x:row r="22" ht="58" customHeight="1">
      <x:c r="A22" s="52" t="str">
        <x:v>Revisión cruzada</x:v>
      </x:c>
      <x:c r="B22" s="52" t="str">
        <x:v>PENDIENTE</x:v>
      </x:c>
      <x:c r="C22" s="52" t="str">
        <x:v>Ninguna</x:v>
      </x:c>
      <x:c r="D22" s="52" t="str">
        <x:v>Debe realizarla otro integrante.</x:v>
      </x:c>
    </x:row>
    <x:row r="23" ht="58" customHeight="1">
      <x:c r="A23" s="52" t="str">
        <x:v>Pull request aprobado</x:v>
      </x:c>
      <x:c r="B23" s="52" t="str">
        <x:v>PENDIENTE</x:v>
      </x:c>
      <x:c r="C23" s="52" t="str">
        <x:v>Ninguna</x:v>
      </x:c>
      <x:c r="D23" s="52" t="str">
        <x:v>No autorizado en esta tarea.</x:v>
      </x:c>
    </x:row>
    <x:row r="24" ht="58" customHeight="1">
      <x:c r="A24" s="52" t="str">
        <x:v>Validación con la planta</x:v>
      </x:c>
      <x:c r="B24" s="52" t="str">
        <x:v>PENDIENTE</x:v>
      </x:c>
      <x:c r="C24" s="52" t="str">
        <x:v>INC-01 a INC-21</x:v>
      </x:c>
      <x:c r="D24" s="52" t="str">
        <x:v>Requiere próxima reunión y documentos reales.</x:v>
      </x:c>
    </x:row>
  </x:sheetData>
  <x:mergeCells>
    <x:mergeCell ref="A1:D1"/>
    <x:mergeCell ref="A2:D2"/>
  </x:mergeCells>
  <x:conditionalFormatting sqref="B5:B24">
    <x:cfRule type="containsText" dxfId="7" priority="1" operator="containsText" text="COMPLETO"/>
    <x:cfRule type="containsText" dxfId="8" priority="2" operator="containsText" text="PARCIAL"/>
    <x:cfRule type="containsText" dxfId="9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7092e8bbd67e4649"/>
  </x:tableParts>
</x:worksheet>
</file>